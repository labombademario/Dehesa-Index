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O:\RESOLUCION 230\Series\ELABORACIÓN\"/>
    </mc:Choice>
  </mc:AlternateContent>
  <xr:revisionPtr revIDLastSave="0" documentId="13_ncr:1_{DD26D1F9-763C-488A-AA5F-365186837196}" xr6:coauthVersionLast="36" xr6:coauthVersionMax="36" xr10:uidLastSave="{00000000-0000-0000-0000-000000000000}"/>
  <bookViews>
    <workbookView xWindow="120" yWindow="105" windowWidth="25485" windowHeight="13455" xr2:uid="{00000000-000D-0000-FFFF-FFFF00000000}"/>
  </bookViews>
  <sheets>
    <sheet name="PI006" sheetId="1" r:id="rId1"/>
  </sheets>
  <calcPr calcId="191029"/>
</workbook>
</file>

<file path=xl/calcChain.xml><?xml version="1.0" encoding="utf-8"?>
<calcChain xmlns="http://schemas.openxmlformats.org/spreadsheetml/2006/main">
  <c r="EL27" i="1" l="1"/>
  <c r="EL28" i="1"/>
  <c r="EL29" i="1"/>
  <c r="EL30" i="1"/>
  <c r="EL31" i="1"/>
  <c r="EK31" i="1" l="1"/>
  <c r="EK27" i="1"/>
  <c r="EK28" i="1"/>
  <c r="EK29" i="1"/>
  <c r="EK30" i="1"/>
  <c r="EJ27" i="1" l="1"/>
  <c r="EJ28" i="1"/>
  <c r="EJ29" i="1"/>
  <c r="EJ30" i="1"/>
  <c r="EJ31" i="1"/>
  <c r="EI31" i="1" l="1"/>
  <c r="EI30" i="1"/>
  <c r="EI29" i="1"/>
  <c r="EI28" i="1"/>
  <c r="EI27" i="1"/>
  <c r="EH27" i="1" l="1"/>
  <c r="EH28" i="1"/>
  <c r="EH29" i="1"/>
  <c r="EH30" i="1"/>
  <c r="EH31" i="1"/>
  <c r="EG27" i="1" l="1"/>
  <c r="EG28" i="1"/>
  <c r="EG29" i="1"/>
  <c r="EG30" i="1"/>
  <c r="EG31" i="1"/>
  <c r="EF30" i="1" l="1"/>
  <c r="EF27" i="1"/>
  <c r="EF28" i="1"/>
  <c r="EF29" i="1"/>
  <c r="EF31" i="1"/>
  <c r="EE30" i="1" l="1"/>
  <c r="EE31" i="1"/>
  <c r="EE29" i="1"/>
  <c r="EE28" i="1"/>
  <c r="EE27" i="1"/>
  <c r="DX31" i="1" l="1"/>
  <c r="DX30" i="1"/>
  <c r="DX29" i="1"/>
  <c r="DX28" i="1"/>
  <c r="DX27" i="1"/>
  <c r="DW31" i="1"/>
  <c r="DW30" i="1"/>
  <c r="DW29" i="1"/>
  <c r="DW28" i="1"/>
  <c r="DW27" i="1"/>
  <c r="CD29" i="1" l="1"/>
  <c r="CB27" i="1" l="1"/>
  <c r="CB28" i="1"/>
  <c r="CB29" i="1"/>
  <c r="CB30" i="1"/>
  <c r="CB31" i="1"/>
  <c r="CA27" i="1" l="1"/>
  <c r="CA28" i="1"/>
  <c r="CA29" i="1"/>
  <c r="CA30" i="1"/>
  <c r="CA31" i="1"/>
  <c r="BZ27" i="1" l="1"/>
  <c r="BZ28" i="1"/>
  <c r="BZ29" i="1"/>
  <c r="BZ30" i="1"/>
  <c r="BZ31" i="1"/>
  <c r="BY27" i="1" l="1"/>
  <c r="BY28" i="1"/>
  <c r="BY29" i="1"/>
  <c r="BY30" i="1"/>
  <c r="BY31" i="1"/>
  <c r="BX27" i="1" l="1"/>
  <c r="BX28" i="1"/>
  <c r="BX29" i="1"/>
  <c r="BX30" i="1"/>
  <c r="BX31" i="1"/>
  <c r="BW27" i="1" l="1"/>
  <c r="BW28" i="1"/>
  <c r="BW29" i="1"/>
  <c r="BW30" i="1"/>
  <c r="BW31" i="1"/>
  <c r="BV27" i="1" l="1"/>
  <c r="BV28" i="1"/>
  <c r="BV29" i="1"/>
  <c r="BV30" i="1"/>
  <c r="BV31" i="1"/>
  <c r="BU27" i="1" l="1"/>
  <c r="BU28" i="1"/>
  <c r="BU29" i="1"/>
  <c r="BU30" i="1"/>
  <c r="BU31" i="1"/>
  <c r="BT27" i="1" l="1"/>
  <c r="BT28" i="1"/>
  <c r="BT29" i="1"/>
  <c r="BT30" i="1"/>
  <c r="BT31" i="1"/>
  <c r="BS27" i="1" l="1"/>
  <c r="BS28" i="1"/>
  <c r="BS29" i="1"/>
  <c r="BS30" i="1"/>
  <c r="BS31" i="1"/>
  <c r="BR27" i="1" l="1"/>
  <c r="BR28" i="1"/>
  <c r="BR29" i="1"/>
  <c r="BR30" i="1"/>
  <c r="BR31" i="1"/>
  <c r="BQ27" i="1" l="1"/>
  <c r="BQ28" i="1"/>
  <c r="BQ29" i="1"/>
  <c r="BQ30" i="1"/>
  <c r="BQ31" i="1"/>
  <c r="BO27" i="1" l="1"/>
  <c r="BP27" i="1"/>
  <c r="BO28" i="1"/>
  <c r="BP28" i="1"/>
  <c r="BO29" i="1"/>
  <c r="BP29" i="1"/>
  <c r="BO30" i="1"/>
  <c r="BP30" i="1"/>
  <c r="BO31" i="1"/>
  <c r="BP31" i="1"/>
  <c r="BN27" i="1" l="1"/>
  <c r="BN28" i="1"/>
  <c r="BN29" i="1"/>
  <c r="BN30" i="1"/>
  <c r="BN31" i="1"/>
  <c r="BM27" i="1"/>
  <c r="BM28" i="1"/>
  <c r="BM29" i="1"/>
  <c r="BM30" i="1"/>
  <c r="BM31" i="1"/>
  <c r="BK27" i="1"/>
  <c r="BK28" i="1"/>
  <c r="BL28" i="1"/>
  <c r="BK29" i="1"/>
  <c r="BL29" i="1"/>
  <c r="BK30" i="1"/>
  <c r="BL30" i="1"/>
  <c r="BL31" i="1"/>
  <c r="BL27" i="1"/>
  <c r="BK31" i="1"/>
  <c r="BI27" i="1"/>
  <c r="BJ27" i="1"/>
  <c r="BI28" i="1"/>
  <c r="BJ28" i="1"/>
  <c r="BI29" i="1"/>
  <c r="BJ29" i="1"/>
  <c r="BI30" i="1"/>
  <c r="BJ30" i="1"/>
  <c r="BI31" i="1"/>
  <c r="BJ31" i="1"/>
  <c r="BH27" i="1"/>
  <c r="BH28" i="1"/>
  <c r="BH29" i="1"/>
  <c r="BH30" i="1"/>
  <c r="BH31" i="1"/>
  <c r="BG27" i="1"/>
  <c r="BG28" i="1"/>
  <c r="BG29" i="1"/>
  <c r="BG30" i="1"/>
  <c r="BG31" i="1"/>
  <c r="BF27" i="1"/>
  <c r="BF28" i="1"/>
  <c r="BF29" i="1"/>
  <c r="BF30" i="1"/>
  <c r="BF31" i="1"/>
  <c r="BE27" i="1"/>
  <c r="BE28" i="1"/>
  <c r="BE29" i="1"/>
  <c r="BE30" i="1"/>
  <c r="BE31" i="1"/>
  <c r="BD27" i="1"/>
  <c r="BD28" i="1"/>
  <c r="BD29" i="1"/>
  <c r="BD30" i="1"/>
  <c r="BD31" i="1"/>
  <c r="BC27" i="1"/>
  <c r="BC28" i="1"/>
  <c r="BC29" i="1"/>
  <c r="BC30" i="1"/>
  <c r="BC31" i="1"/>
  <c r="BB31" i="1"/>
  <c r="BB30" i="1"/>
  <c r="BB29" i="1"/>
  <c r="BB28" i="1"/>
  <c r="BB27" i="1"/>
  <c r="BA27" i="1"/>
  <c r="BA28" i="1"/>
  <c r="BA29" i="1"/>
  <c r="BA30" i="1"/>
  <c r="BA31" i="1"/>
  <c r="AZ27" i="1"/>
  <c r="AZ28" i="1"/>
  <c r="AZ29" i="1"/>
  <c r="AZ30" i="1"/>
  <c r="AZ31" i="1"/>
  <c r="AY27" i="1"/>
  <c r="AY28" i="1"/>
  <c r="AY29" i="1"/>
  <c r="AY30" i="1"/>
  <c r="AY31" i="1"/>
  <c r="AX27" i="1"/>
  <c r="AX28" i="1"/>
  <c r="AX29" i="1"/>
  <c r="AX30" i="1"/>
  <c r="AX31" i="1"/>
  <c r="AW31" i="1"/>
  <c r="AW30" i="1"/>
  <c r="AW29" i="1"/>
  <c r="AW28" i="1"/>
  <c r="AW27" i="1"/>
  <c r="AV27" i="1"/>
  <c r="AV28" i="1"/>
  <c r="AV29" i="1"/>
  <c r="AV30" i="1"/>
  <c r="AV31" i="1"/>
  <c r="AU30" i="1"/>
  <c r="AU31" i="1"/>
  <c r="AU29" i="1"/>
  <c r="AU28" i="1"/>
  <c r="AU27" i="1"/>
  <c r="AT27" i="1"/>
  <c r="AT28" i="1"/>
  <c r="AT29" i="1"/>
  <c r="AT30" i="1"/>
  <c r="AT31" i="1"/>
  <c r="AS31" i="1"/>
  <c r="AS30" i="1"/>
  <c r="AS29" i="1"/>
  <c r="AS28" i="1"/>
  <c r="AS27" i="1"/>
  <c r="AR27" i="1"/>
  <c r="AR28" i="1"/>
  <c r="AR29" i="1"/>
  <c r="AR30" i="1"/>
  <c r="AR31" i="1"/>
  <c r="AQ31" i="1"/>
  <c r="AQ28" i="1"/>
  <c r="AQ30" i="1"/>
  <c r="AQ29" i="1"/>
  <c r="AQ27" i="1"/>
  <c r="AP31" i="1"/>
  <c r="AP30" i="1"/>
  <c r="AP29" i="1"/>
  <c r="AP28" i="1"/>
  <c r="AP27" i="1"/>
  <c r="AO31" i="1"/>
  <c r="AO30" i="1"/>
  <c r="AO29" i="1"/>
  <c r="AO28" i="1"/>
  <c r="AO27" i="1"/>
  <c r="AN31" i="1"/>
  <c r="AN30" i="1"/>
  <c r="AN29" i="1"/>
  <c r="AN28" i="1"/>
  <c r="AN27" i="1"/>
  <c r="AM27" i="1"/>
  <c r="AM28" i="1"/>
  <c r="AM29" i="1"/>
  <c r="AM30" i="1"/>
  <c r="AM31" i="1"/>
  <c r="AL27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V27" i="1"/>
  <c r="W27" i="1"/>
  <c r="X27" i="1"/>
  <c r="Y27" i="1"/>
  <c r="Z27" i="1"/>
  <c r="AA27" i="1"/>
  <c r="AB27" i="1"/>
  <c r="AC27" i="1"/>
  <c r="AD27" i="1"/>
  <c r="AE27" i="1"/>
  <c r="AF27" i="1"/>
  <c r="AG27" i="1"/>
  <c r="AL30" i="1"/>
  <c r="AH30" i="1"/>
  <c r="AD30" i="1"/>
  <c r="Z30" i="1"/>
  <c r="V30" i="1"/>
  <c r="R30" i="1"/>
  <c r="N30" i="1"/>
  <c r="J30" i="1"/>
  <c r="F30" i="1"/>
  <c r="AL31" i="1"/>
  <c r="AK31" i="1"/>
  <c r="AH31" i="1"/>
  <c r="AG31" i="1"/>
  <c r="AD31" i="1"/>
  <c r="AC31" i="1"/>
  <c r="Z31" i="1"/>
  <c r="Y31" i="1"/>
  <c r="V31" i="1"/>
  <c r="U31" i="1"/>
  <c r="R31" i="1"/>
  <c r="Q31" i="1"/>
  <c r="N31" i="1"/>
  <c r="M31" i="1"/>
  <c r="J31" i="1"/>
  <c r="I31" i="1"/>
  <c r="F31" i="1"/>
  <c r="E31" i="1"/>
  <c r="AK30" i="1"/>
  <c r="AJ30" i="1"/>
  <c r="AG30" i="1"/>
  <c r="AF30" i="1"/>
  <c r="AC30" i="1"/>
  <c r="AB30" i="1"/>
  <c r="Y30" i="1"/>
  <c r="X30" i="1"/>
  <c r="U30" i="1"/>
  <c r="T30" i="1"/>
  <c r="Q30" i="1"/>
  <c r="P30" i="1"/>
  <c r="M30" i="1"/>
  <c r="L30" i="1"/>
  <c r="I30" i="1"/>
  <c r="H30" i="1"/>
  <c r="E30" i="1"/>
  <c r="D30" i="1"/>
  <c r="AJ29" i="1"/>
  <c r="AH29" i="1"/>
  <c r="N29" i="1"/>
  <c r="L29" i="1"/>
  <c r="J29" i="1"/>
  <c r="H29" i="1"/>
  <c r="F29" i="1"/>
  <c r="D29" i="1"/>
  <c r="AL29" i="1"/>
  <c r="AI29" i="1"/>
  <c r="K29" i="1"/>
  <c r="G29" i="1"/>
  <c r="AJ31" i="1"/>
  <c r="AI31" i="1"/>
  <c r="AF31" i="1"/>
  <c r="AE31" i="1"/>
  <c r="AB31" i="1"/>
  <c r="AA31" i="1"/>
  <c r="X31" i="1"/>
  <c r="W31" i="1"/>
  <c r="T31" i="1"/>
  <c r="S31" i="1"/>
  <c r="P31" i="1"/>
  <c r="O31" i="1"/>
  <c r="L31" i="1"/>
  <c r="K31" i="1"/>
  <c r="H31" i="1"/>
  <c r="G31" i="1"/>
  <c r="D31" i="1"/>
  <c r="AI30" i="1"/>
  <c r="AE30" i="1"/>
  <c r="AA30" i="1"/>
  <c r="W30" i="1"/>
  <c r="S30" i="1"/>
  <c r="O30" i="1"/>
  <c r="K30" i="1"/>
  <c r="G30" i="1"/>
  <c r="AK29" i="1"/>
  <c r="M29" i="1"/>
  <c r="I29" i="1"/>
  <c r="E29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K27" i="1"/>
  <c r="AJ27" i="1"/>
  <c r="AI27" i="1"/>
  <c r="AH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31" i="1"/>
  <c r="C29" i="1"/>
  <c r="C28" i="1"/>
  <c r="C27" i="1"/>
  <c r="C30" i="1"/>
</calcChain>
</file>

<file path=xl/sharedStrings.xml><?xml version="1.0" encoding="utf-8"?>
<sst xmlns="http://schemas.openxmlformats.org/spreadsheetml/2006/main" count="37" uniqueCount="28">
  <si>
    <t>Dulce de leche</t>
  </si>
  <si>
    <t>Leche en polvo descremada</t>
  </si>
  <si>
    <t>LECHE FLUIDA (miles de litros)</t>
  </si>
  <si>
    <t>LECHE EN POLVO (toneladas)</t>
  </si>
  <si>
    <t>QUESOS (toneladas)</t>
  </si>
  <si>
    <t>OTROS PRODUCTOS (toneladas)</t>
  </si>
  <si>
    <t>estadisticaslecheria@magyp.gob.ar</t>
  </si>
  <si>
    <t>Manteca</t>
  </si>
  <si>
    <t>Crema</t>
  </si>
  <si>
    <t>Leches no refrigeradas</t>
  </si>
  <si>
    <t>Leches refrigeradas</t>
  </si>
  <si>
    <t>-</t>
  </si>
  <si>
    <t>Leche en polvo entera y semidescremada</t>
  </si>
  <si>
    <t>Quesos de baja humedad (pasta dura)</t>
  </si>
  <si>
    <t>Quesos de mediana humedad (pasta semidura)</t>
  </si>
  <si>
    <t>Quesos de alta humedad (pasta blanda)</t>
  </si>
  <si>
    <t>Quesos de muy alta humedad (pasta muy blanda)</t>
  </si>
  <si>
    <t>Otros quesos (rallados, en polvo, fundidos, etc.)</t>
  </si>
  <si>
    <t>OTROS PRODUCTOS (toneladas/miles de litros)</t>
  </si>
  <si>
    <t>Leches chocolatadas o saborizadas</t>
  </si>
  <si>
    <t>Postres lácteos y flanes</t>
  </si>
  <si>
    <t xml:space="preserve">Yogures y otras leches fermentadas </t>
  </si>
  <si>
    <t>OTROS PRODUCTOS (miles de litros)</t>
  </si>
  <si>
    <t>ELABORACIÓN DE PRODUCTOS LÁCTEOS</t>
  </si>
  <si>
    <t>* Datos en base a la Resolución 7/2014 SAGyP y 230/2016 SAGyP</t>
  </si>
  <si>
    <t>Elaboración de productos lácteos (miles de litros/toneladas por mes 2015-2021)</t>
  </si>
  <si>
    <t>Fuente: Dirección Nacional de Lechería - Secretaría de Agricultura, Ganadería y Pesca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</si>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</sst>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.00_ ;_ * \-#,##0.00_ ;_ * &quot;-&quot;??_ ;_ @_ "/>
    <numFmt numFmtId="165" formatCode="#,##0_ ;\-#,##0\ "/>
    <numFmt numFmtId="166" formatCode="[$-2C0A]General"/>
    <numFmt numFmtId="167" formatCode="_-* #,##0.00\ _€_-;\-* #,##0.00\ _€_-;_-* &quot;-&quot;??\ _€_-;_-@_-"/>
  </numFmts>
  <fonts count="14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8"/>
      <color theme="1"/>
      <name val="Inherit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4" tint="-0.249977111117893"/>
      <name val="Trebuchet MS"/>
      <family val="2"/>
    </font>
    <font>
      <b/>
      <sz val="10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Arial MT"/>
    </font>
    <font>
      <sz val="12"/>
      <color theme="1"/>
      <name val="Arial MT"/>
    </font>
    <font>
      <sz val="12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0" fontId="4" fillId="0" borderId="0" applyNumberFormat="0" applyFill="0" applyBorder="0" applyAlignment="0" applyProtection="0"/>
    <xf numFmtId="9" fontId="9" fillId="0" borderId="0" applyFont="0" applyFill="0" applyBorder="0" applyAlignment="0" applyProtection="0"/>
    <xf numFmtId="166" fontId="12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3" fillId="0" borderId="0"/>
    <xf numFmtId="0" fontId="10" fillId="0" borderId="0"/>
    <xf numFmtId="0" fontId="9" fillId="0" borderId="0"/>
    <xf numFmtId="167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48">
    <xf numFmtId="0" fontId="0" fillId="0" borderId="0" xfId="0"/>
    <xf numFmtId="165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vertical="center"/>
    </xf>
    <xf numFmtId="165" fontId="0" fillId="2" borderId="0" xfId="0" applyNumberFormat="1" applyFill="1" applyBorder="1" applyAlignment="1">
      <alignment horizontal="center" vertical="center"/>
    </xf>
    <xf numFmtId="0" fontId="0" fillId="3" borderId="0" xfId="0" applyFill="1"/>
    <xf numFmtId="17" fontId="2" fillId="4" borderId="4" xfId="0" applyNumberFormat="1" applyFont="1" applyFill="1" applyBorder="1" applyAlignment="1">
      <alignment horizontal="center" vertical="center" wrapText="1"/>
    </xf>
    <xf numFmtId="0" fontId="0" fillId="3" borderId="0" xfId="0" applyFill="1"/>
    <xf numFmtId="165" fontId="1" fillId="0" borderId="2" xfId="0" applyNumberFormat="1" applyFont="1" applyBorder="1" applyAlignment="1">
      <alignment horizontal="center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0" fontId="0" fillId="3" borderId="0" xfId="0" applyFill="1"/>
    <xf numFmtId="165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0" fontId="0" fillId="3" borderId="0" xfId="0" applyFill="1"/>
    <xf numFmtId="165" fontId="1" fillId="0" borderId="2" xfId="0" applyNumberFormat="1" applyFont="1" applyBorder="1" applyAlignment="1">
      <alignment horizontal="center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4" xfId="0" applyNumberFormat="1" applyFont="1" applyFill="1" applyBorder="1" applyAlignment="1">
      <alignment horizontal="center" vertical="center" wrapText="1"/>
    </xf>
    <xf numFmtId="0" fontId="0" fillId="3" borderId="0" xfId="0" applyFill="1"/>
    <xf numFmtId="165" fontId="1" fillId="0" borderId="2" xfId="0" applyNumberFormat="1" applyFont="1" applyBorder="1" applyAlignment="1">
      <alignment horizontal="center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0" fontId="0" fillId="3" borderId="0" xfId="0" applyFill="1"/>
    <xf numFmtId="165" fontId="1" fillId="0" borderId="2" xfId="0" applyNumberFormat="1" applyFont="1" applyBorder="1" applyAlignment="1">
      <alignment horizontal="center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4" xfId="0" applyNumberFormat="1" applyFont="1" applyFill="1" applyBorder="1" applyAlignment="1">
      <alignment horizontal="center" vertical="center" wrapText="1"/>
    </xf>
    <xf numFmtId="0" fontId="0" fillId="3" borderId="0" xfId="0" applyFill="1"/>
    <xf numFmtId="165" fontId="1" fillId="0" borderId="2" xfId="0" applyNumberFormat="1" applyFont="1" applyBorder="1" applyAlignment="1">
      <alignment horizontal="center" vertical="center"/>
    </xf>
    <xf numFmtId="3" fontId="0" fillId="2" borderId="0" xfId="0" applyNumberFormat="1" applyFill="1" applyBorder="1" applyAlignment="1">
      <alignment horizontal="center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0" fontId="0" fillId="3" borderId="0" xfId="0" applyFill="1"/>
    <xf numFmtId="165" fontId="1" fillId="0" borderId="2" xfId="0" applyNumberFormat="1" applyFont="1" applyBorder="1" applyAlignment="1">
      <alignment horizontal="center" vertical="center"/>
    </xf>
  </cellXfs>
  <cellStyles count="24">
    <cellStyle name="Excel Built-in Normal" xfId="3" xr:uid="{00000000-0005-0000-0000-000000000000}"/>
    <cellStyle name="Hipervínculo" xfId="1" builtinId="8"/>
    <cellStyle name="Millares 2" xfId="5" xr:uid="{00000000-0005-0000-0000-000002000000}"/>
    <cellStyle name="Millares 2 2" xfId="12" xr:uid="{00000000-0005-0000-0000-000003000000}"/>
    <cellStyle name="Millares 3" xfId="6" xr:uid="{00000000-0005-0000-0000-000004000000}"/>
    <cellStyle name="Millares 4" xfId="7" xr:uid="{00000000-0005-0000-0000-000005000000}"/>
    <cellStyle name="Millares 5" xfId="8" xr:uid="{00000000-0005-0000-0000-000006000000}"/>
    <cellStyle name="Millares 6" xfId="13" xr:uid="{00000000-0005-0000-0000-000007000000}"/>
    <cellStyle name="Millares 7" xfId="14" xr:uid="{00000000-0005-0000-0000-000008000000}"/>
    <cellStyle name="Millares 7 2" xfId="16" xr:uid="{00000000-0005-0000-0000-000009000000}"/>
    <cellStyle name="Millares 7 3" xfId="17" xr:uid="{00000000-0005-0000-0000-00000A000000}"/>
    <cellStyle name="Millares 7 4" xfId="18" xr:uid="{00000000-0005-0000-0000-00000B000000}"/>
    <cellStyle name="Millares 7 5" xfId="19" xr:uid="{00000000-0005-0000-0000-00000C000000}"/>
    <cellStyle name="Millares 7 6" xfId="20" xr:uid="{00000000-0005-0000-0000-00000D000000}"/>
    <cellStyle name="Millares 7 7" xfId="21" xr:uid="{00000000-0005-0000-0000-00000E000000}"/>
    <cellStyle name="Millares 7 8" xfId="22" xr:uid="{00000000-0005-0000-0000-00000F000000}"/>
    <cellStyle name="Millares 7 9" xfId="23" xr:uid="{00000000-0005-0000-0000-000010000000}"/>
    <cellStyle name="Millares 8" xfId="15" xr:uid="{00000000-0005-0000-0000-000011000000}"/>
    <cellStyle name="Normal" xfId="0" builtinId="0"/>
    <cellStyle name="Normal 2" xfId="4" xr:uid="{00000000-0005-0000-0000-000013000000}"/>
    <cellStyle name="Normal 2 2" xfId="10" xr:uid="{00000000-0005-0000-0000-000014000000}"/>
    <cellStyle name="Normal 3" xfId="9" xr:uid="{00000000-0005-0000-0000-000015000000}"/>
    <cellStyle name="Normal 3 2" xfId="11" xr:uid="{00000000-0005-0000-0000-000016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tadisticaslecheria@magyp.gob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EL47"/>
  <sheetViews>
    <sheetView tabSelected="1" zoomScale="70" zoomScaleNormal="70" zoomScalePageLayoutView="150" workbookViewId="0">
      <pane xSplit="2" ySplit="5" topLeftCell="EF9" activePane="bottomRight" state="frozen"/>
      <selection pane="topRight" activeCell="B1" sqref="B1"/>
      <selection pane="bottomLeft" activeCell="A6" sqref="A6"/>
      <selection pane="bottomRight" activeCell="EN18" sqref="EN18"/>
    </sheetView>
  </sheetViews>
  <sheetFormatPr baseColWidth="10" defaultColWidth="10.85546875" defaultRowHeight="15"/>
  <cols>
    <col min="1" max="1" width="10.85546875" style="3"/>
    <col min="2" max="2" width="51.42578125" style="3" customWidth="1"/>
    <col min="3" max="14" width="10.85546875" style="3"/>
    <col min="15" max="15" width="10.85546875" style="3" customWidth="1"/>
    <col min="16" max="26" width="10.85546875" style="3"/>
    <col min="27" max="27" width="13.140625" style="3" bestFit="1" customWidth="1"/>
    <col min="28" max="40" width="10.85546875" style="3"/>
    <col min="41" max="41" width="11.5703125" style="3" customWidth="1"/>
    <col min="42" max="42" width="14" style="3" customWidth="1"/>
    <col min="43" max="43" width="11.85546875" style="3" customWidth="1"/>
    <col min="44" max="44" width="12.85546875" style="3" customWidth="1"/>
    <col min="45" max="62" width="12.28515625" style="3" customWidth="1"/>
    <col min="63" max="63" width="10.85546875" style="3"/>
    <col min="64" max="81" width="10.85546875" style="3" customWidth="1"/>
    <col min="82" max="82" width="10.85546875" style="3"/>
    <col min="83" max="84" width="11.7109375" style="3" bestFit="1" customWidth="1"/>
    <col min="85" max="86" width="10.85546875" style="3"/>
    <col min="87" max="87" width="11.7109375" style="3" bestFit="1" customWidth="1"/>
    <col min="88" max="101" width="10.85546875" style="3"/>
    <col min="102" max="117" width="11.140625" style="3" customWidth="1"/>
    <col min="118" max="126" width="10.85546875" style="3" customWidth="1"/>
    <col min="127" max="138" width="10.85546875" style="3"/>
    <col min="139" max="140" width="10.85546875" style="3" customWidth="1"/>
    <col min="141" max="16384" width="10.85546875" style="3"/>
  </cols>
  <sheetData>
    <row r="3" spans="2:142" s="4" customFormat="1" ht="15" customHeight="1">
      <c r="C3" s="8" t="s">
        <v>25</v>
      </c>
    </row>
    <row r="4" spans="2:142" ht="15" customHeight="1"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</row>
    <row r="5" spans="2:142" ht="15.75" thickBot="1">
      <c r="B5" s="10" t="s">
        <v>23</v>
      </c>
      <c r="C5" s="12">
        <v>42005</v>
      </c>
      <c r="D5" s="12">
        <v>42036</v>
      </c>
      <c r="E5" s="12">
        <v>42064</v>
      </c>
      <c r="F5" s="12">
        <v>42095</v>
      </c>
      <c r="G5" s="12">
        <v>42125</v>
      </c>
      <c r="H5" s="12">
        <v>42156</v>
      </c>
      <c r="I5" s="12">
        <v>42186</v>
      </c>
      <c r="J5" s="12">
        <v>42217</v>
      </c>
      <c r="K5" s="12">
        <v>42248</v>
      </c>
      <c r="L5" s="12">
        <v>42278</v>
      </c>
      <c r="M5" s="12">
        <v>42309</v>
      </c>
      <c r="N5" s="12">
        <v>42339</v>
      </c>
      <c r="O5" s="12">
        <v>42370</v>
      </c>
      <c r="P5" s="12">
        <v>42401</v>
      </c>
      <c r="Q5" s="12">
        <v>42430</v>
      </c>
      <c r="R5" s="12">
        <v>42461</v>
      </c>
      <c r="S5" s="12">
        <v>42491</v>
      </c>
      <c r="T5" s="12">
        <v>42522</v>
      </c>
      <c r="U5" s="12">
        <v>42552</v>
      </c>
      <c r="V5" s="12">
        <v>42583</v>
      </c>
      <c r="W5" s="12">
        <v>42614</v>
      </c>
      <c r="X5" s="12">
        <v>42644</v>
      </c>
      <c r="Y5" s="12">
        <v>42675</v>
      </c>
      <c r="Z5" s="12">
        <v>42705</v>
      </c>
      <c r="AA5" s="12">
        <v>42736</v>
      </c>
      <c r="AB5" s="12">
        <v>42767</v>
      </c>
      <c r="AC5" s="12">
        <v>42795</v>
      </c>
      <c r="AD5" s="12">
        <v>42826</v>
      </c>
      <c r="AE5" s="12">
        <v>42856</v>
      </c>
      <c r="AF5" s="12">
        <v>42887</v>
      </c>
      <c r="AG5" s="12">
        <v>42917</v>
      </c>
      <c r="AH5" s="12">
        <v>42948</v>
      </c>
      <c r="AI5" s="12">
        <v>42979</v>
      </c>
      <c r="AJ5" s="12">
        <v>43009</v>
      </c>
      <c r="AK5" s="12">
        <v>43040</v>
      </c>
      <c r="AL5" s="12">
        <v>43070</v>
      </c>
      <c r="AM5" s="12">
        <v>43101</v>
      </c>
      <c r="AN5" s="12">
        <v>43132</v>
      </c>
      <c r="AO5" s="12">
        <v>43160</v>
      </c>
      <c r="AP5" s="12">
        <v>43191</v>
      </c>
      <c r="AQ5" s="12">
        <v>43221</v>
      </c>
      <c r="AR5" s="12">
        <v>43252</v>
      </c>
      <c r="AS5" s="12">
        <v>43282</v>
      </c>
      <c r="AT5" s="12">
        <v>43313</v>
      </c>
      <c r="AU5" s="12">
        <v>43344</v>
      </c>
      <c r="AV5" s="12">
        <v>43374</v>
      </c>
      <c r="AW5" s="12">
        <v>43405</v>
      </c>
      <c r="AX5" s="12">
        <v>43435</v>
      </c>
      <c r="AY5" s="12">
        <v>43466</v>
      </c>
      <c r="AZ5" s="12">
        <v>43497</v>
      </c>
      <c r="BA5" s="12">
        <v>43525</v>
      </c>
      <c r="BB5" s="12">
        <v>43556</v>
      </c>
      <c r="BC5" s="12">
        <v>43586</v>
      </c>
      <c r="BD5" s="12">
        <v>43617</v>
      </c>
      <c r="BE5" s="12">
        <v>43647</v>
      </c>
      <c r="BF5" s="12">
        <v>43678</v>
      </c>
      <c r="BG5" s="12">
        <v>43709</v>
      </c>
      <c r="BH5" s="12">
        <v>43739</v>
      </c>
      <c r="BI5" s="12">
        <v>43770</v>
      </c>
      <c r="BJ5" s="12">
        <v>43800</v>
      </c>
      <c r="BK5" s="12">
        <v>43831</v>
      </c>
      <c r="BL5" s="12">
        <v>43862</v>
      </c>
      <c r="BM5" s="12">
        <v>43891</v>
      </c>
      <c r="BN5" s="12">
        <v>43922</v>
      </c>
      <c r="BO5" s="12">
        <v>43952</v>
      </c>
      <c r="BP5" s="12">
        <v>43983</v>
      </c>
      <c r="BQ5" s="12">
        <v>44013</v>
      </c>
      <c r="BR5" s="12">
        <v>44044</v>
      </c>
      <c r="BS5" s="12">
        <v>44075</v>
      </c>
      <c r="BT5" s="12">
        <v>44105</v>
      </c>
      <c r="BU5" s="12">
        <v>44136</v>
      </c>
      <c r="BV5" s="12">
        <v>44166</v>
      </c>
      <c r="BW5" s="12">
        <v>44197</v>
      </c>
      <c r="BX5" s="12">
        <v>44228</v>
      </c>
      <c r="BY5" s="12">
        <v>44256</v>
      </c>
      <c r="BZ5" s="12">
        <v>44287</v>
      </c>
      <c r="CA5" s="12">
        <v>44317</v>
      </c>
      <c r="CB5" s="12">
        <v>44348</v>
      </c>
      <c r="CC5" s="12">
        <v>44378</v>
      </c>
      <c r="CD5" s="12">
        <v>44409</v>
      </c>
      <c r="CE5" s="12">
        <v>44440</v>
      </c>
      <c r="CF5" s="12">
        <v>44470</v>
      </c>
      <c r="CG5" s="12">
        <v>44501</v>
      </c>
      <c r="CH5" s="12">
        <v>44531</v>
      </c>
      <c r="CI5" s="12">
        <v>44562</v>
      </c>
      <c r="CJ5" s="12">
        <v>44593</v>
      </c>
      <c r="CK5" s="12">
        <v>44621</v>
      </c>
      <c r="CL5" s="12">
        <v>44652</v>
      </c>
      <c r="CM5" s="12">
        <v>44682</v>
      </c>
      <c r="CN5" s="12">
        <v>44713</v>
      </c>
      <c r="CO5" s="12">
        <v>44743</v>
      </c>
      <c r="CP5" s="12">
        <v>44774</v>
      </c>
      <c r="CQ5" s="12">
        <v>44805</v>
      </c>
      <c r="CR5" s="12">
        <v>44835</v>
      </c>
      <c r="CS5" s="12">
        <v>44866</v>
      </c>
      <c r="CT5" s="12">
        <v>44896</v>
      </c>
      <c r="CU5" s="12">
        <v>44927</v>
      </c>
      <c r="CV5" s="12">
        <v>44958</v>
      </c>
      <c r="CW5" s="12">
        <v>44986</v>
      </c>
      <c r="CX5" s="12">
        <v>45017</v>
      </c>
      <c r="CY5" s="12">
        <v>45047</v>
      </c>
      <c r="CZ5" s="12">
        <v>45078</v>
      </c>
      <c r="DA5" s="12">
        <v>45108</v>
      </c>
      <c r="DB5" s="12">
        <v>45139</v>
      </c>
      <c r="DC5" s="12">
        <v>45170</v>
      </c>
      <c r="DD5" s="12">
        <v>45200</v>
      </c>
      <c r="DE5" s="23">
        <v>45231</v>
      </c>
      <c r="DF5" s="23">
        <v>45261</v>
      </c>
      <c r="DG5" s="26">
        <v>45292</v>
      </c>
      <c r="DH5" s="26">
        <v>45323</v>
      </c>
      <c r="DI5" s="26">
        <v>45352</v>
      </c>
      <c r="DJ5" s="30">
        <v>45383</v>
      </c>
      <c r="DK5" s="30">
        <v>45413</v>
      </c>
      <c r="DL5" s="33">
        <v>45444</v>
      </c>
      <c r="DM5" s="33">
        <v>45474</v>
      </c>
      <c r="DN5" s="33">
        <v>45505</v>
      </c>
      <c r="DO5" s="33">
        <v>45536</v>
      </c>
      <c r="DP5" s="33">
        <v>45566</v>
      </c>
      <c r="DQ5" s="33">
        <v>45597</v>
      </c>
      <c r="DR5" s="33">
        <v>45627</v>
      </c>
      <c r="DS5" s="33">
        <v>45658</v>
      </c>
      <c r="DT5" s="34">
        <v>45689</v>
      </c>
      <c r="DU5" s="34">
        <v>45717</v>
      </c>
      <c r="DV5" s="37">
        <v>45748</v>
      </c>
      <c r="DW5" s="37">
        <v>45778</v>
      </c>
      <c r="DX5" s="40">
        <v>45809</v>
      </c>
      <c r="DY5" s="41">
        <v>45839</v>
      </c>
      <c r="DZ5" s="41">
        <v>45870</v>
      </c>
      <c r="EA5" s="41">
        <v>45901</v>
      </c>
      <c r="EB5" s="45">
        <v>45931</v>
      </c>
      <c r="EC5" s="45">
        <v>45962</v>
      </c>
      <c r="ED5" s="45">
        <v>45992</v>
      </c>
      <c r="EE5" s="45">
        <v>46023</v>
      </c>
      <c r="EF5" s="45">
        <v>46054</v>
      </c>
      <c r="EG5" s="45">
        <v>46082</v>
      </c>
      <c r="EH5" s="45">
        <v>46113</v>
      </c>
      <c r="EI5" s="45">
        <v>46143</v>
      </c>
      <c r="EJ5" s="45">
        <v>46174</v>
      </c>
      <c r="EK5" s="45">
        <v>46204</v>
      </c>
      <c r="EL5" s="45">
        <v>46235</v>
      </c>
    </row>
    <row r="6" spans="2:142" ht="15" customHeight="1">
      <c r="B6" s="13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4"/>
      <c r="DF6" s="24"/>
      <c r="DG6" s="27"/>
      <c r="DH6" s="27"/>
      <c r="DI6" s="27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5"/>
      <c r="DU6" s="35"/>
      <c r="DV6" s="38"/>
      <c r="DW6" s="38"/>
      <c r="DX6" s="38"/>
      <c r="DY6" s="42"/>
      <c r="DZ6" s="42"/>
      <c r="EA6" s="42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</row>
    <row r="7" spans="2:142">
      <c r="B7" s="17" t="s">
        <v>9</v>
      </c>
      <c r="C7" s="1">
        <v>32817.981</v>
      </c>
      <c r="D7" s="1">
        <v>30879.43</v>
      </c>
      <c r="E7" s="1">
        <v>32774.716</v>
      </c>
      <c r="F7" s="1">
        <v>35833.008999999998</v>
      </c>
      <c r="G7" s="1">
        <v>43882.455000000002</v>
      </c>
      <c r="H7" s="1">
        <v>43247.392</v>
      </c>
      <c r="I7" s="1">
        <v>46752.158000000003</v>
      </c>
      <c r="J7" s="1">
        <v>43718.936000000002</v>
      </c>
      <c r="K7" s="1">
        <v>46399.273999999998</v>
      </c>
      <c r="L7" s="1">
        <v>47541.050999999999</v>
      </c>
      <c r="M7" s="1">
        <v>43833.616999999998</v>
      </c>
      <c r="N7" s="1">
        <v>41907.714</v>
      </c>
      <c r="O7" s="1">
        <v>44956.362999999998</v>
      </c>
      <c r="P7" s="1">
        <v>39310.061999999998</v>
      </c>
      <c r="Q7" s="1">
        <v>51318.44</v>
      </c>
      <c r="R7" s="1">
        <v>38366.775000000001</v>
      </c>
      <c r="S7" s="1">
        <v>52445.860999999997</v>
      </c>
      <c r="T7" s="1">
        <v>52550.358</v>
      </c>
      <c r="U7" s="1">
        <v>68272.760479999997</v>
      </c>
      <c r="V7" s="1">
        <v>65192.491562000003</v>
      </c>
      <c r="W7" s="1">
        <v>57032.399870000001</v>
      </c>
      <c r="X7" s="1">
        <v>58741.321920000002</v>
      </c>
      <c r="Y7" s="1">
        <v>50775.581932000001</v>
      </c>
      <c r="Z7" s="1">
        <v>51207</v>
      </c>
      <c r="AA7" s="1">
        <v>49347.574078000012</v>
      </c>
      <c r="AB7" s="1">
        <v>42320.633703999993</v>
      </c>
      <c r="AC7" s="1">
        <v>46481.631914000005</v>
      </c>
      <c r="AD7" s="1">
        <v>36151.261953999994</v>
      </c>
      <c r="AE7" s="1">
        <v>46673.752715000002</v>
      </c>
      <c r="AF7" s="1">
        <v>49604.263791999998</v>
      </c>
      <c r="AG7" s="1">
        <v>64057.941138000002</v>
      </c>
      <c r="AH7" s="1">
        <v>72838.362111999988</v>
      </c>
      <c r="AI7" s="1">
        <v>57036.806487999995</v>
      </c>
      <c r="AJ7" s="1">
        <v>63973.560166000003</v>
      </c>
      <c r="AK7" s="1">
        <v>49837.563518000003</v>
      </c>
      <c r="AL7" s="1">
        <v>51022.081627085448</v>
      </c>
      <c r="AM7" s="1">
        <v>55649.890521877249</v>
      </c>
      <c r="AN7" s="1">
        <v>47942.149936795817</v>
      </c>
      <c r="AO7" s="1">
        <v>51610.82075738447</v>
      </c>
      <c r="AP7" s="1">
        <v>57592.940667593546</v>
      </c>
      <c r="AQ7" s="1">
        <v>64090.355510682617</v>
      </c>
      <c r="AR7" s="1">
        <v>61274.305426602848</v>
      </c>
      <c r="AS7" s="1">
        <v>58913.713601765274</v>
      </c>
      <c r="AT7" s="1">
        <v>62978.324054755925</v>
      </c>
      <c r="AU7" s="1">
        <v>71328.852703130789</v>
      </c>
      <c r="AV7" s="1">
        <v>61684.253502219188</v>
      </c>
      <c r="AW7" s="1">
        <v>45395.411028920011</v>
      </c>
      <c r="AX7" s="1">
        <v>48797.484166701601</v>
      </c>
      <c r="AY7" s="1">
        <v>50650.442812070083</v>
      </c>
      <c r="AZ7" s="1">
        <v>40549.281410311087</v>
      </c>
      <c r="BA7" s="1">
        <v>52010.986129756915</v>
      </c>
      <c r="BB7" s="1">
        <v>49693.160515269265</v>
      </c>
      <c r="BC7" s="1">
        <v>61499.169272455882</v>
      </c>
      <c r="BD7" s="1">
        <v>59604.591952831419</v>
      </c>
      <c r="BE7" s="1">
        <v>65388.516613555665</v>
      </c>
      <c r="BF7" s="1">
        <v>48073.180924643704</v>
      </c>
      <c r="BG7" s="1">
        <v>52509.64745084045</v>
      </c>
      <c r="BH7" s="1">
        <v>48956.89676219083</v>
      </c>
      <c r="BI7" s="1">
        <v>41945.432999999997</v>
      </c>
      <c r="BJ7" s="1">
        <v>42708.826588995704</v>
      </c>
      <c r="BK7" s="1">
        <v>41403.925914948661</v>
      </c>
      <c r="BL7" s="1">
        <v>41178.983610210656</v>
      </c>
      <c r="BM7" s="1">
        <v>57242.705000000002</v>
      </c>
      <c r="BN7" s="1">
        <v>73825.260953999998</v>
      </c>
      <c r="BO7" s="1">
        <v>69373.80791820692</v>
      </c>
      <c r="BP7" s="1">
        <v>81822.712687982319</v>
      </c>
      <c r="BQ7" s="1">
        <v>67689.099751316695</v>
      </c>
      <c r="BR7" s="1">
        <v>71097.184035016006</v>
      </c>
      <c r="BS7" s="1">
        <v>59128.297469231962</v>
      </c>
      <c r="BT7" s="1">
        <v>59773.15756810001</v>
      </c>
      <c r="BU7" s="1">
        <v>57557.412629957136</v>
      </c>
      <c r="BV7" s="1">
        <v>63605.335177000001</v>
      </c>
      <c r="BW7" s="1">
        <v>55296.774094</v>
      </c>
      <c r="BX7" s="1">
        <v>44016</v>
      </c>
      <c r="BY7" s="1">
        <v>60038.445262960107</v>
      </c>
      <c r="BZ7" s="1">
        <v>63806.590418</v>
      </c>
      <c r="CA7" s="1">
        <v>62802.557119040015</v>
      </c>
      <c r="CB7" s="1">
        <v>64589.249387999989</v>
      </c>
      <c r="CC7" s="1">
        <v>73013.560593520102</v>
      </c>
      <c r="CD7" s="1">
        <v>69551.344683480012</v>
      </c>
      <c r="CE7" s="1">
        <v>66626.126658648005</v>
      </c>
      <c r="CF7" s="1">
        <v>64507.151803000001</v>
      </c>
      <c r="CG7" s="1">
        <v>56916.688384536006</v>
      </c>
      <c r="CH7" s="1">
        <v>57867.650682243475</v>
      </c>
      <c r="CI7" s="1">
        <v>54852.706159888883</v>
      </c>
      <c r="CJ7" s="1">
        <v>50375.313083999994</v>
      </c>
      <c r="CK7" s="1">
        <v>50758.929394400002</v>
      </c>
      <c r="CL7" s="1">
        <v>55162.007011000009</v>
      </c>
      <c r="CM7" s="1">
        <v>62884.243980494408</v>
      </c>
      <c r="CN7" s="1">
        <v>67448.157632257586</v>
      </c>
      <c r="CO7" s="1">
        <v>69340.494966248036</v>
      </c>
      <c r="CP7" s="1">
        <v>67433.320076751988</v>
      </c>
      <c r="CQ7" s="1">
        <v>68035.364968952024</v>
      </c>
      <c r="CR7" s="1">
        <v>61257.927623303978</v>
      </c>
      <c r="CS7" s="1">
        <v>61212.845467000036</v>
      </c>
      <c r="CT7" s="1">
        <v>59545.955479000047</v>
      </c>
      <c r="CU7" s="1">
        <v>61339.103654000035</v>
      </c>
      <c r="CV7" s="1">
        <v>53216.610807960031</v>
      </c>
      <c r="CW7" s="1">
        <v>58791.947422040044</v>
      </c>
      <c r="CX7" s="1">
        <v>59312.945796000044</v>
      </c>
      <c r="CY7" s="1">
        <v>62463.682960000035</v>
      </c>
      <c r="CZ7" s="1">
        <v>64823.715434000034</v>
      </c>
      <c r="DA7" s="1">
        <v>71415.988232000018</v>
      </c>
      <c r="DB7" s="32">
        <v>68195.453118000063</v>
      </c>
      <c r="DC7" s="1">
        <v>50975.640299288032</v>
      </c>
      <c r="DD7" s="1">
        <v>66070</v>
      </c>
      <c r="DE7" s="25">
        <v>67683.197569752054</v>
      </c>
      <c r="DF7" s="25">
        <v>54024.298176000011</v>
      </c>
      <c r="DG7" s="28">
        <v>47408.448759879022</v>
      </c>
      <c r="DH7" s="29">
        <v>39045.148779589072</v>
      </c>
      <c r="DI7" s="29">
        <v>51042</v>
      </c>
      <c r="DJ7" s="32">
        <v>51197.310514248027</v>
      </c>
      <c r="DK7" s="32">
        <v>60173</v>
      </c>
      <c r="DL7" s="32">
        <v>59674.69990207209</v>
      </c>
      <c r="DM7" s="32">
        <v>63629</v>
      </c>
      <c r="DN7" s="32">
        <v>71311.431585752012</v>
      </c>
      <c r="DO7" s="32">
        <v>66206</v>
      </c>
      <c r="DP7" s="32">
        <v>60947</v>
      </c>
      <c r="DQ7" s="32">
        <v>54630</v>
      </c>
      <c r="DR7" s="32">
        <v>56336.752224753254</v>
      </c>
      <c r="DS7" s="32">
        <v>51839.212520333371</v>
      </c>
      <c r="DT7" s="36">
        <v>42115.752942005289</v>
      </c>
      <c r="DU7" s="36">
        <v>52890</v>
      </c>
      <c r="DV7" s="39">
        <v>59633.961358683373</v>
      </c>
      <c r="DW7" s="39">
        <v>56359.133218000024</v>
      </c>
      <c r="DX7" s="39">
        <v>61209.479414000001</v>
      </c>
      <c r="DY7" s="43">
        <v>63752.177580000003</v>
      </c>
      <c r="DZ7" s="43">
        <v>60392</v>
      </c>
      <c r="EA7" s="43">
        <v>64882</v>
      </c>
      <c r="EB7" s="47">
        <v>67197.405620000005</v>
      </c>
      <c r="EC7" s="47">
        <v>51981.466827231066</v>
      </c>
      <c r="ED7" s="47">
        <v>49871</v>
      </c>
      <c r="EE7" s="47">
        <v>55652.832200000004</v>
      </c>
      <c r="EF7" s="47">
        <v>47677.038280000001</v>
      </c>
      <c r="EG7" s="47">
        <v>52891</v>
      </c>
      <c r="EH7" s="47">
        <v>57026</v>
      </c>
      <c r="EI7" s="47">
        <v>58293.903603506646</v>
      </c>
      <c r="EJ7" s="47">
        <v>66471</v>
      </c>
      <c r="EK7" s="47">
        <v>65836.407306749999</v>
      </c>
      <c r="EL7" s="47">
        <v>71110.939701999989</v>
      </c>
    </row>
    <row r="8" spans="2:142">
      <c r="B8" s="18" t="s">
        <v>10</v>
      </c>
      <c r="C8" s="1">
        <v>83874.577000000005</v>
      </c>
      <c r="D8" s="1">
        <v>76901.358999999997</v>
      </c>
      <c r="E8" s="1">
        <v>90913.66</v>
      </c>
      <c r="F8" s="1">
        <v>92244.811000000002</v>
      </c>
      <c r="G8" s="1">
        <v>83303.104000000007</v>
      </c>
      <c r="H8" s="1">
        <v>91908.716</v>
      </c>
      <c r="I8" s="1">
        <v>94201.788</v>
      </c>
      <c r="J8" s="1">
        <v>89763.78</v>
      </c>
      <c r="K8" s="1">
        <v>93223.625</v>
      </c>
      <c r="L8" s="1">
        <v>94786.724000000002</v>
      </c>
      <c r="M8" s="1">
        <v>84840.482000000004</v>
      </c>
      <c r="N8" s="1">
        <v>83737.963000000003</v>
      </c>
      <c r="O8" s="1">
        <v>74810.384999999995</v>
      </c>
      <c r="P8" s="1">
        <v>69405.56</v>
      </c>
      <c r="Q8" s="1">
        <v>78986.873000000007</v>
      </c>
      <c r="R8" s="1">
        <v>71049.159</v>
      </c>
      <c r="S8" s="1">
        <v>74363.567999999999</v>
      </c>
      <c r="T8" s="1">
        <v>79936.445999999996</v>
      </c>
      <c r="U8" s="1">
        <v>72879.034360000005</v>
      </c>
      <c r="V8" s="1">
        <v>65871</v>
      </c>
      <c r="W8" s="1">
        <v>59404</v>
      </c>
      <c r="X8" s="1">
        <v>60514</v>
      </c>
      <c r="Y8" s="1">
        <v>59366</v>
      </c>
      <c r="Z8" s="1">
        <v>58760</v>
      </c>
      <c r="AA8" s="1">
        <v>57380.096649999999</v>
      </c>
      <c r="AB8" s="1">
        <v>51791.683699999994</v>
      </c>
      <c r="AC8" s="1">
        <v>64291.618310000005</v>
      </c>
      <c r="AD8" s="1">
        <v>54274.792350000003</v>
      </c>
      <c r="AE8" s="1">
        <v>59799.614320000001</v>
      </c>
      <c r="AF8" s="1">
        <v>62704.563670000003</v>
      </c>
      <c r="AG8" s="1">
        <v>56736.70000378789</v>
      </c>
      <c r="AH8" s="1">
        <v>64340.586950000004</v>
      </c>
      <c r="AI8" s="1">
        <v>53672.910799999998</v>
      </c>
      <c r="AJ8" s="1">
        <v>55100.566979999996</v>
      </c>
      <c r="AK8" s="1">
        <v>52644.873789999998</v>
      </c>
      <c r="AL8" s="1">
        <v>50510.754626497881</v>
      </c>
      <c r="AM8" s="1">
        <v>52114.274157323496</v>
      </c>
      <c r="AN8" s="1">
        <v>51332.863391281935</v>
      </c>
      <c r="AO8" s="1">
        <v>54148.332195491639</v>
      </c>
      <c r="AP8" s="1">
        <v>51279.511685786871</v>
      </c>
      <c r="AQ8" s="1">
        <v>61198.763656730698</v>
      </c>
      <c r="AR8" s="1">
        <v>50734.366035719839</v>
      </c>
      <c r="AS8" s="1">
        <v>55320.803873424964</v>
      </c>
      <c r="AT8" s="1">
        <v>54841.199331801356</v>
      </c>
      <c r="AU8" s="1">
        <v>50113.350193049409</v>
      </c>
      <c r="AV8" s="1">
        <v>52329.092112046048</v>
      </c>
      <c r="AW8" s="1">
        <v>53174.308062046053</v>
      </c>
      <c r="AX8" s="1">
        <v>48954.622643250659</v>
      </c>
      <c r="AY8" s="1">
        <v>51429.85701</v>
      </c>
      <c r="AZ8" s="1">
        <v>45146.466443899997</v>
      </c>
      <c r="BA8" s="1">
        <v>53390.430353557997</v>
      </c>
      <c r="BB8" s="1">
        <v>52245.325187832925</v>
      </c>
      <c r="BC8" s="1">
        <v>57080.341785978839</v>
      </c>
      <c r="BD8" s="1">
        <v>53772.777276599474</v>
      </c>
      <c r="BE8" s="1">
        <v>55041.133790321401</v>
      </c>
      <c r="BF8" s="1">
        <v>50086.911968348228</v>
      </c>
      <c r="BG8" s="1">
        <v>45616.611119398673</v>
      </c>
      <c r="BH8" s="1">
        <v>47900.233413774615</v>
      </c>
      <c r="BI8" s="1">
        <v>43780.727319295191</v>
      </c>
      <c r="BJ8" s="1">
        <v>42455.033490216338</v>
      </c>
      <c r="BK8" s="1">
        <v>43111.559760248783</v>
      </c>
      <c r="BL8" s="1">
        <v>38930.00041024878</v>
      </c>
      <c r="BM8" s="1">
        <v>45917.764000000003</v>
      </c>
      <c r="BN8" s="1">
        <v>54507.455350000004</v>
      </c>
      <c r="BO8" s="1">
        <v>46171.695700000004</v>
      </c>
      <c r="BP8" s="1">
        <v>46143.214999999997</v>
      </c>
      <c r="BQ8" s="1">
        <v>45552.090250000001</v>
      </c>
      <c r="BR8" s="1">
        <v>40799.900910000004</v>
      </c>
      <c r="BS8" s="1">
        <v>38353.975619999997</v>
      </c>
      <c r="BT8" s="1">
        <v>37979.236400000009</v>
      </c>
      <c r="BU8" s="1">
        <v>35480.4732</v>
      </c>
      <c r="BV8" s="1">
        <v>36905.959149999995</v>
      </c>
      <c r="BW8" s="1">
        <v>37130.641799999998</v>
      </c>
      <c r="BX8" s="1">
        <v>32236</v>
      </c>
      <c r="BY8" s="1">
        <v>39475.229100000004</v>
      </c>
      <c r="BZ8" s="1">
        <v>40411.482960000001</v>
      </c>
      <c r="CA8" s="1">
        <v>40499.070659999998</v>
      </c>
      <c r="CB8" s="1">
        <v>41656.37775</v>
      </c>
      <c r="CC8" s="1">
        <v>38732.123799999994</v>
      </c>
      <c r="CD8" s="1">
        <v>40779.9156</v>
      </c>
      <c r="CE8" s="1">
        <v>37722.938499999997</v>
      </c>
      <c r="CF8" s="1">
        <v>38549.600100000003</v>
      </c>
      <c r="CG8" s="1">
        <v>36417.034700000004</v>
      </c>
      <c r="CH8" s="1">
        <v>36193.179022727272</v>
      </c>
      <c r="CI8" s="1">
        <v>37536.43275</v>
      </c>
      <c r="CJ8" s="1">
        <v>34652.372799999997</v>
      </c>
      <c r="CK8" s="1">
        <v>35222.007969999999</v>
      </c>
      <c r="CL8" s="1">
        <v>34923.124750000003</v>
      </c>
      <c r="CM8" s="1">
        <v>35652.94795780033</v>
      </c>
      <c r="CN8" s="1">
        <v>33510.865432199666</v>
      </c>
      <c r="CO8" s="1">
        <v>35717.445639999998</v>
      </c>
      <c r="CP8" s="1">
        <v>38172.755499999999</v>
      </c>
      <c r="CQ8" s="1">
        <v>38055.358480000003</v>
      </c>
      <c r="CR8" s="1">
        <v>45024.580311000042</v>
      </c>
      <c r="CS8" s="1">
        <v>36122.292449999994</v>
      </c>
      <c r="CT8" s="1">
        <v>35160.538959999998</v>
      </c>
      <c r="CU8" s="1">
        <v>32759.878000000001</v>
      </c>
      <c r="CV8" s="1">
        <v>33914.376649999998</v>
      </c>
      <c r="CW8" s="1">
        <v>36460.60590000001</v>
      </c>
      <c r="CX8" s="1">
        <v>34898.973149999998</v>
      </c>
      <c r="CY8" s="1">
        <v>37175.11535</v>
      </c>
      <c r="CZ8" s="1">
        <v>38043.335549999996</v>
      </c>
      <c r="DA8" s="1">
        <v>37663.034599999992</v>
      </c>
      <c r="DB8" s="32">
        <v>38536.225800000007</v>
      </c>
      <c r="DC8" s="1">
        <v>37913.483199999995</v>
      </c>
      <c r="DD8" s="1">
        <v>36729</v>
      </c>
      <c r="DE8" s="25">
        <v>34044.623</v>
      </c>
      <c r="DF8" s="25">
        <v>31128.459899999998</v>
      </c>
      <c r="DG8" s="28">
        <v>29396.973108142563</v>
      </c>
      <c r="DH8" s="29">
        <v>29220.391253995935</v>
      </c>
      <c r="DI8" s="29">
        <v>28727</v>
      </c>
      <c r="DJ8" s="32">
        <v>30367.470159999997</v>
      </c>
      <c r="DK8" s="32">
        <v>34733</v>
      </c>
      <c r="DL8" s="32">
        <v>34477.431607724335</v>
      </c>
      <c r="DM8" s="32">
        <v>40601</v>
      </c>
      <c r="DN8" s="32">
        <v>40523.293899999997</v>
      </c>
      <c r="DO8" s="32">
        <v>33411</v>
      </c>
      <c r="DP8" s="32">
        <v>40693</v>
      </c>
      <c r="DQ8" s="32">
        <v>35487</v>
      </c>
      <c r="DR8" s="32">
        <v>33147.214269537042</v>
      </c>
      <c r="DS8" s="32">
        <v>34729.667476557443</v>
      </c>
      <c r="DT8" s="36">
        <v>32195.766378610027</v>
      </c>
      <c r="DU8" s="36">
        <v>34151</v>
      </c>
      <c r="DV8" s="39">
        <v>33732.61212627971</v>
      </c>
      <c r="DW8" s="39">
        <v>33542.211000000003</v>
      </c>
      <c r="DX8" s="39">
        <v>32262.684000000001</v>
      </c>
      <c r="DY8" s="43">
        <v>33270.862999999998</v>
      </c>
      <c r="DZ8" s="43">
        <v>33539</v>
      </c>
      <c r="EA8" s="43">
        <v>32762</v>
      </c>
      <c r="EB8" s="47">
        <v>33541.983</v>
      </c>
      <c r="EC8" s="47">
        <v>30255.263500000001</v>
      </c>
      <c r="ED8" s="47">
        <v>30693</v>
      </c>
      <c r="EE8" s="47">
        <v>31579.094000000001</v>
      </c>
      <c r="EF8" s="47">
        <v>30764.537</v>
      </c>
      <c r="EG8" s="47">
        <v>31920</v>
      </c>
      <c r="EH8" s="47">
        <v>33861</v>
      </c>
      <c r="EI8" s="47">
        <v>34061.803999999996</v>
      </c>
      <c r="EJ8" s="47">
        <v>36155</v>
      </c>
      <c r="EK8" s="47">
        <v>35543.588000000003</v>
      </c>
      <c r="EL8" s="47">
        <v>36737.716999999997</v>
      </c>
    </row>
    <row r="9" spans="2:142" ht="15" customHeight="1">
      <c r="B9" s="14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 t="s">
        <v>27</v>
      </c>
      <c r="EK9" s="2" t="s">
        <v>27</v>
      </c>
      <c r="EL9" s="2" t="s">
        <v>27</v>
      </c>
    </row>
    <row r="10" spans="2:142">
      <c r="B10" s="18" t="s">
        <v>12</v>
      </c>
      <c r="C10" s="1">
        <v>17407.424999999999</v>
      </c>
      <c r="D10" s="1">
        <v>14046.954</v>
      </c>
      <c r="E10" s="1">
        <v>14775.790999999999</v>
      </c>
      <c r="F10" s="1">
        <v>16370.332</v>
      </c>
      <c r="G10" s="1">
        <v>17633.112000000001</v>
      </c>
      <c r="H10" s="1">
        <v>17162.437999999998</v>
      </c>
      <c r="I10" s="1">
        <v>23575.362000000001</v>
      </c>
      <c r="J10" s="1">
        <v>21110.346000000001</v>
      </c>
      <c r="K10" s="1">
        <v>26173.205999999998</v>
      </c>
      <c r="L10" s="1">
        <v>26794.678</v>
      </c>
      <c r="M10" s="1">
        <v>27103.351999999999</v>
      </c>
      <c r="N10" s="1">
        <v>23289.625</v>
      </c>
      <c r="O10" s="1">
        <v>18335.918000000001</v>
      </c>
      <c r="P10" s="1">
        <v>12018.781999999999</v>
      </c>
      <c r="Q10" s="1">
        <v>11870.778</v>
      </c>
      <c r="R10" s="1">
        <v>8529.0750000000007</v>
      </c>
      <c r="S10" s="1">
        <v>6926.8090000000002</v>
      </c>
      <c r="T10" s="1">
        <v>6805.7950000000001</v>
      </c>
      <c r="U10" s="1">
        <v>13883.129354402899</v>
      </c>
      <c r="V10" s="1">
        <v>13157</v>
      </c>
      <c r="W10" s="1">
        <v>17140</v>
      </c>
      <c r="X10" s="1">
        <v>17757</v>
      </c>
      <c r="Y10" s="1">
        <v>13736</v>
      </c>
      <c r="Z10" s="1">
        <v>16970</v>
      </c>
      <c r="AA10" s="1">
        <v>14503.711526471376</v>
      </c>
      <c r="AB10" s="1">
        <v>11260.031299249285</v>
      </c>
      <c r="AC10" s="1">
        <v>6662.7868235698716</v>
      </c>
      <c r="AD10" s="1">
        <v>6364.3292750080936</v>
      </c>
      <c r="AE10" s="1">
        <v>9675.8346910300188</v>
      </c>
      <c r="AF10" s="1">
        <v>9730.0452724026782</v>
      </c>
      <c r="AG10" s="1">
        <v>13591.69425505748</v>
      </c>
      <c r="AH10" s="1">
        <v>10363.328618319654</v>
      </c>
      <c r="AI10" s="1">
        <v>17708.500143225621</v>
      </c>
      <c r="AJ10" s="1">
        <v>16227.545405738376</v>
      </c>
      <c r="AK10" s="1">
        <v>17603.609441304867</v>
      </c>
      <c r="AL10" s="1">
        <v>15392.389673748918</v>
      </c>
      <c r="AM10" s="1">
        <v>20315.656992749213</v>
      </c>
      <c r="AN10" s="1">
        <v>12447.848439333271</v>
      </c>
      <c r="AO10" s="1">
        <v>10903.239925159813</v>
      </c>
      <c r="AP10" s="1">
        <v>9521.8399832731902</v>
      </c>
      <c r="AQ10" s="1">
        <v>11276.282150740128</v>
      </c>
      <c r="AR10" s="1">
        <v>13832.539234172733</v>
      </c>
      <c r="AS10" s="1">
        <v>16283.316566670455</v>
      </c>
      <c r="AT10" s="1">
        <v>13928.780961278044</v>
      </c>
      <c r="AU10" s="1">
        <v>20931.707688600734</v>
      </c>
      <c r="AV10" s="1">
        <v>21489.726092538753</v>
      </c>
      <c r="AW10" s="1">
        <v>23088.312786694423</v>
      </c>
      <c r="AX10" s="1">
        <v>18158.995347513472</v>
      </c>
      <c r="AY10" s="1">
        <v>16324.059354986761</v>
      </c>
      <c r="AZ10" s="1">
        <v>10822.735324747922</v>
      </c>
      <c r="BA10" s="1">
        <v>9076.0911206010442</v>
      </c>
      <c r="BB10" s="1">
        <v>9446.3821315004552</v>
      </c>
      <c r="BC10" s="1">
        <v>12047.534498105113</v>
      </c>
      <c r="BD10" s="1">
        <v>10949.542713503824</v>
      </c>
      <c r="BE10" s="1">
        <v>14331.391559607366</v>
      </c>
      <c r="BF10" s="1">
        <v>18163.522264499035</v>
      </c>
      <c r="BG10" s="1">
        <v>23083.628806822628</v>
      </c>
      <c r="BH10" s="1">
        <v>20560.766062580162</v>
      </c>
      <c r="BI10" s="1">
        <v>21542.828799996772</v>
      </c>
      <c r="BJ10" s="1">
        <v>21356.633462475933</v>
      </c>
      <c r="BK10" s="1">
        <v>16879.638925031428</v>
      </c>
      <c r="BL10" s="1">
        <v>13516.671907908609</v>
      </c>
      <c r="BM10" s="1">
        <v>13090.263000000001</v>
      </c>
      <c r="BN10" s="1">
        <v>10598.691997956063</v>
      </c>
      <c r="BO10" s="1">
        <v>14525.47893714129</v>
      </c>
      <c r="BP10" s="1">
        <v>17503.159329900871</v>
      </c>
      <c r="BQ10" s="1">
        <v>18358.194869485473</v>
      </c>
      <c r="BR10" s="1">
        <v>24207.618813435238</v>
      </c>
      <c r="BS10" s="1">
        <v>22000.361705192354</v>
      </c>
      <c r="BT10" s="1">
        <v>24504.47612656045</v>
      </c>
      <c r="BU10" s="1">
        <v>22280.085687427199</v>
      </c>
      <c r="BV10" s="1">
        <v>15819.635841091569</v>
      </c>
      <c r="BW10" s="1">
        <v>22370.393994924154</v>
      </c>
      <c r="BX10" s="1">
        <v>16227</v>
      </c>
      <c r="BY10" s="1">
        <v>17081.523879298256</v>
      </c>
      <c r="BZ10" s="1">
        <v>16998.925294160075</v>
      </c>
      <c r="CA10" s="1">
        <v>15170.109992085667</v>
      </c>
      <c r="CB10" s="1">
        <v>14500.388845189304</v>
      </c>
      <c r="CC10" s="1">
        <v>19929.256108955949</v>
      </c>
      <c r="CD10" s="1">
        <v>24677.354282387591</v>
      </c>
      <c r="CE10" s="1">
        <v>22700.141609110764</v>
      </c>
      <c r="CF10" s="1">
        <v>23185.242423949188</v>
      </c>
      <c r="CG10" s="1">
        <v>19340.356429916235</v>
      </c>
      <c r="CH10" s="1">
        <v>22083.455595346335</v>
      </c>
      <c r="CI10" s="1">
        <v>17136.096618871059</v>
      </c>
      <c r="CJ10" s="1">
        <v>11964.755835146416</v>
      </c>
      <c r="CK10" s="1">
        <v>15223.093559372832</v>
      </c>
      <c r="CL10" s="1">
        <v>15799.667310200586</v>
      </c>
      <c r="CM10" s="1">
        <v>13561.986918166205</v>
      </c>
      <c r="CN10" s="1">
        <v>15770.721238161188</v>
      </c>
      <c r="CO10" s="1">
        <v>18919.568716213817</v>
      </c>
      <c r="CP10" s="1">
        <v>22301.179671178925</v>
      </c>
      <c r="CQ10" s="1">
        <v>21998.614236152716</v>
      </c>
      <c r="CR10" s="1">
        <v>19571.843705190604</v>
      </c>
      <c r="CS10" s="1">
        <v>20096.748633110154</v>
      </c>
      <c r="CT10" s="1">
        <v>20423.366813117893</v>
      </c>
      <c r="CU10" s="1">
        <v>18953.16145004375</v>
      </c>
      <c r="CV10" s="1">
        <v>7412.8598040949555</v>
      </c>
      <c r="CW10" s="1">
        <v>8568.4182175322767</v>
      </c>
      <c r="CX10" s="1">
        <v>10654.626569790493</v>
      </c>
      <c r="CY10" s="1">
        <v>11958.843487076483</v>
      </c>
      <c r="CZ10" s="1">
        <v>13640.847013177105</v>
      </c>
      <c r="DA10" s="1">
        <v>14325.439347999998</v>
      </c>
      <c r="DB10" s="32">
        <v>18565.767980137076</v>
      </c>
      <c r="DC10" s="1">
        <v>22169.932540342565</v>
      </c>
      <c r="DD10" s="1">
        <v>22558</v>
      </c>
      <c r="DE10" s="25">
        <v>20203.968108110981</v>
      </c>
      <c r="DF10" s="25">
        <v>16145.565732043457</v>
      </c>
      <c r="DG10" s="28">
        <v>13882.226449908721</v>
      </c>
      <c r="DH10" s="29">
        <v>8122.9874857714403</v>
      </c>
      <c r="DI10" s="29">
        <v>8401</v>
      </c>
      <c r="DJ10" s="32">
        <v>7023.1208740579041</v>
      </c>
      <c r="DK10" s="32">
        <v>15514</v>
      </c>
      <c r="DL10" s="32">
        <v>13345.231737109392</v>
      </c>
      <c r="DM10" s="32">
        <v>13896</v>
      </c>
      <c r="DN10" s="32">
        <v>13283.225948154353</v>
      </c>
      <c r="DO10" s="32">
        <v>18136</v>
      </c>
      <c r="DP10" s="32">
        <v>21018</v>
      </c>
      <c r="DQ10" s="32">
        <v>19276</v>
      </c>
      <c r="DR10" s="32">
        <v>21299.267195416291</v>
      </c>
      <c r="DS10" s="32">
        <v>12667.82036507639</v>
      </c>
      <c r="DT10" s="36">
        <v>7248.7108801075892</v>
      </c>
      <c r="DU10" s="36">
        <v>10963</v>
      </c>
      <c r="DV10" s="39">
        <v>6433.8740073399949</v>
      </c>
      <c r="DW10" s="39">
        <v>11276.013113475461</v>
      </c>
      <c r="DX10" s="39">
        <v>13449.496003369151</v>
      </c>
      <c r="DY10" s="43">
        <v>20026.150399999999</v>
      </c>
      <c r="DZ10" s="43">
        <v>17825</v>
      </c>
      <c r="EA10" s="43">
        <v>26543</v>
      </c>
      <c r="EB10" s="47">
        <v>24326.051949999997</v>
      </c>
      <c r="EC10" s="47">
        <v>16998.420564237098</v>
      </c>
      <c r="ED10" s="47">
        <v>27723</v>
      </c>
      <c r="EE10" s="47">
        <v>14699.657870000001</v>
      </c>
      <c r="EF10" s="47">
        <v>11747.46802</v>
      </c>
      <c r="EG10" s="47">
        <v>11207</v>
      </c>
      <c r="EH10" s="47">
        <v>11011</v>
      </c>
      <c r="EI10" s="47">
        <v>14394.928986362216</v>
      </c>
      <c r="EJ10" s="47">
        <v>12560</v>
      </c>
      <c r="EK10" s="47">
        <v>16666.864238902162</v>
      </c>
      <c r="EL10" s="47">
        <v>19781.169656394533</v>
      </c>
    </row>
    <row r="11" spans="2:142">
      <c r="B11" s="18" t="s">
        <v>1</v>
      </c>
      <c r="C11" s="1">
        <v>2285.4839999999999</v>
      </c>
      <c r="D11" s="1">
        <v>1455.2149999999999</v>
      </c>
      <c r="E11" s="1">
        <v>1433.249</v>
      </c>
      <c r="F11" s="1">
        <v>1109.8119999999999</v>
      </c>
      <c r="G11" s="1">
        <v>1182.6590000000001</v>
      </c>
      <c r="H11" s="1">
        <v>1613.3209999999999</v>
      </c>
      <c r="I11" s="1">
        <v>1805.9780000000001</v>
      </c>
      <c r="J11" s="1">
        <v>2820.44</v>
      </c>
      <c r="K11" s="1">
        <v>3593.5070000000001</v>
      </c>
      <c r="L11" s="1">
        <v>3762.375</v>
      </c>
      <c r="M11" s="1">
        <v>2624.92</v>
      </c>
      <c r="N11" s="1">
        <v>3140.5749999999998</v>
      </c>
      <c r="O11" s="1">
        <v>1721.204</v>
      </c>
      <c r="P11" s="1">
        <v>1377.8820000000001</v>
      </c>
      <c r="Q11" s="1">
        <v>974.12199999999996</v>
      </c>
      <c r="R11" s="1">
        <v>766.53099999999995</v>
      </c>
      <c r="S11" s="1">
        <v>1056.7380000000001</v>
      </c>
      <c r="T11" s="1">
        <v>1490.5229999999999</v>
      </c>
      <c r="U11" s="1">
        <v>2874.8022581925602</v>
      </c>
      <c r="V11" s="1">
        <v>4247</v>
      </c>
      <c r="W11" s="1">
        <v>5145</v>
      </c>
      <c r="X11" s="1">
        <v>4630</v>
      </c>
      <c r="Y11" s="1">
        <v>5007</v>
      </c>
      <c r="Z11" s="1">
        <v>4757</v>
      </c>
      <c r="AA11" s="1">
        <v>3424.8035221125733</v>
      </c>
      <c r="AB11" s="1">
        <v>3093.1786020616837</v>
      </c>
      <c r="AC11" s="1">
        <v>3202.9232026590139</v>
      </c>
      <c r="AD11" s="1">
        <v>3945.1230626450183</v>
      </c>
      <c r="AE11" s="1">
        <v>3203.326085957438</v>
      </c>
      <c r="AF11" s="1">
        <v>2457.3914729999997</v>
      </c>
      <c r="AG11" s="1">
        <v>6758.7002435451268</v>
      </c>
      <c r="AH11" s="1">
        <v>3159.9634100867347</v>
      </c>
      <c r="AI11" s="1">
        <v>3808.7956419999996</v>
      </c>
      <c r="AJ11" s="1">
        <v>3640.7387259470092</v>
      </c>
      <c r="AK11" s="1">
        <v>4049.7292786209978</v>
      </c>
      <c r="AL11" s="1">
        <v>4905.7355747029324</v>
      </c>
      <c r="AM11" s="1">
        <v>4423.8100172872601</v>
      </c>
      <c r="AN11" s="1">
        <v>2995.8120677154088</v>
      </c>
      <c r="AO11" s="1">
        <v>2327.737956676754</v>
      </c>
      <c r="AP11" s="1">
        <v>2455.0385310875213</v>
      </c>
      <c r="AQ11" s="1">
        <v>2555.138236577287</v>
      </c>
      <c r="AR11" s="1">
        <v>1793.9457734478117</v>
      </c>
      <c r="AS11" s="1">
        <v>3794.4892648372738</v>
      </c>
      <c r="AT11" s="1">
        <v>3780.1359916214615</v>
      </c>
      <c r="AU11" s="1">
        <v>4596.5861259417943</v>
      </c>
      <c r="AV11" s="1">
        <v>4512.2727285281962</v>
      </c>
      <c r="AW11" s="1">
        <v>3848.7449618190203</v>
      </c>
      <c r="AX11" s="1">
        <v>3482.0720103394378</v>
      </c>
      <c r="AY11" s="1">
        <v>2930.1883657113503</v>
      </c>
      <c r="AZ11" s="1">
        <v>3450.16300027443</v>
      </c>
      <c r="BA11" s="1">
        <v>2556.0537225026164</v>
      </c>
      <c r="BB11" s="1">
        <v>2676.0659201691733</v>
      </c>
      <c r="BC11" s="1">
        <v>2959.1312415436369</v>
      </c>
      <c r="BD11" s="1">
        <v>2736.4465582321909</v>
      </c>
      <c r="BE11" s="1">
        <v>3042.755434457516</v>
      </c>
      <c r="BF11" s="1">
        <v>4562.3712728314877</v>
      </c>
      <c r="BG11" s="1">
        <v>4395.0421006981023</v>
      </c>
      <c r="BH11" s="1">
        <v>5531.075534685524</v>
      </c>
      <c r="BI11" s="1">
        <v>6051.8739999999998</v>
      </c>
      <c r="BJ11" s="1">
        <v>4236.4073206672656</v>
      </c>
      <c r="BK11" s="1">
        <v>2889.5950080266653</v>
      </c>
      <c r="BL11" s="1">
        <v>3518.1523253341752</v>
      </c>
      <c r="BM11" s="1">
        <v>2714.3409999999999</v>
      </c>
      <c r="BN11" s="1">
        <v>2131.2717442308012</v>
      </c>
      <c r="BO11" s="1">
        <v>2614.946832853821</v>
      </c>
      <c r="BP11" s="1">
        <v>3518.5151989795227</v>
      </c>
      <c r="BQ11" s="1">
        <v>3940.1458898413139</v>
      </c>
      <c r="BR11" s="1">
        <v>6902.9348674682187</v>
      </c>
      <c r="BS11" s="1">
        <v>7441.1693464860473</v>
      </c>
      <c r="BT11" s="1">
        <v>5748.0160562614974</v>
      </c>
      <c r="BU11" s="1">
        <v>5926.947177396517</v>
      </c>
      <c r="BV11" s="1">
        <v>5122.8780877679974</v>
      </c>
      <c r="BW11" s="1">
        <v>5463.0146033116116</v>
      </c>
      <c r="BX11" s="1">
        <v>2087</v>
      </c>
      <c r="BY11" s="1">
        <v>4939.1221446328782</v>
      </c>
      <c r="BZ11" s="1">
        <v>2947.8258646169306</v>
      </c>
      <c r="CA11" s="1">
        <v>3258.2126140392002</v>
      </c>
      <c r="CB11" s="1">
        <v>2446.7774249671502</v>
      </c>
      <c r="CC11" s="1">
        <v>3903.2888905264672</v>
      </c>
      <c r="CD11" s="1">
        <v>5165.9689003554749</v>
      </c>
      <c r="CE11" s="1">
        <v>5408.3841765122597</v>
      </c>
      <c r="CF11" s="1">
        <v>5501.3017087707904</v>
      </c>
      <c r="CG11" s="1">
        <v>8044.2292305389237</v>
      </c>
      <c r="CH11" s="1">
        <v>5764.9601517625633</v>
      </c>
      <c r="CI11" s="1">
        <v>4786.2507094862322</v>
      </c>
      <c r="CJ11" s="1">
        <v>3618.9044420090681</v>
      </c>
      <c r="CK11" s="1">
        <v>3157.2029659373752</v>
      </c>
      <c r="CL11" s="1">
        <v>3417.3666691919511</v>
      </c>
      <c r="CM11" s="1">
        <v>3556.0424325017502</v>
      </c>
      <c r="CN11" s="1">
        <v>3034.9726555549419</v>
      </c>
      <c r="CO11" s="1">
        <v>2839.1456161797232</v>
      </c>
      <c r="CP11" s="1">
        <v>4297.7624900143592</v>
      </c>
      <c r="CQ11" s="1">
        <v>5330.3202090989362</v>
      </c>
      <c r="CR11" s="1">
        <v>6305.0844679430966</v>
      </c>
      <c r="CS11" s="1">
        <v>6672.2240203036572</v>
      </c>
      <c r="CT11" s="1">
        <v>4348.4040260352212</v>
      </c>
      <c r="CU11" s="1">
        <v>3849.9108429117687</v>
      </c>
      <c r="CV11" s="1">
        <v>3394.9595849999992</v>
      </c>
      <c r="CW11" s="1">
        <v>683.85397104509923</v>
      </c>
      <c r="CX11" s="1">
        <v>712.20565891944705</v>
      </c>
      <c r="CY11" s="1">
        <v>2445.736108357677</v>
      </c>
      <c r="CZ11" s="1">
        <v>2913.093996354115</v>
      </c>
      <c r="DA11" s="1">
        <v>3066.6802979500003</v>
      </c>
      <c r="DB11" s="32">
        <v>3436.9595935526027</v>
      </c>
      <c r="DC11" s="1">
        <v>3085.1595080280008</v>
      </c>
      <c r="DD11" s="1">
        <v>4289</v>
      </c>
      <c r="DE11" s="25">
        <v>1410.9392779589509</v>
      </c>
      <c r="DF11" s="25">
        <v>3554.4312419999987</v>
      </c>
      <c r="DG11" s="28">
        <v>2428.4942571747301</v>
      </c>
      <c r="DH11" s="29">
        <v>2788.7039011329066</v>
      </c>
      <c r="DI11" s="29">
        <v>2403</v>
      </c>
      <c r="DJ11" s="32">
        <v>4862.2946753096139</v>
      </c>
      <c r="DK11" s="32">
        <v>905</v>
      </c>
      <c r="DL11" s="32">
        <v>2874.6512746241974</v>
      </c>
      <c r="DM11" s="32">
        <v>2729</v>
      </c>
      <c r="DN11" s="32">
        <v>5453.9541132918966</v>
      </c>
      <c r="DO11" s="32">
        <v>1355</v>
      </c>
      <c r="DP11" s="32">
        <v>2757</v>
      </c>
      <c r="DQ11" s="32">
        <v>4222</v>
      </c>
      <c r="DR11" s="32">
        <v>3381.5869810725744</v>
      </c>
      <c r="DS11" s="32">
        <v>4665.5120342332475</v>
      </c>
      <c r="DT11" s="36">
        <v>3283.6768533089889</v>
      </c>
      <c r="DU11" s="36">
        <v>3933</v>
      </c>
      <c r="DV11" s="39">
        <v>2739.5194508645386</v>
      </c>
      <c r="DW11" s="39">
        <v>3836.5503191080998</v>
      </c>
      <c r="DX11" s="39">
        <v>5523.8801786467566</v>
      </c>
      <c r="DY11" s="43">
        <v>3010.0881951462275</v>
      </c>
      <c r="DZ11" s="43">
        <v>3848</v>
      </c>
      <c r="EA11" s="43">
        <v>4247</v>
      </c>
      <c r="EB11" s="47">
        <v>5046.61283</v>
      </c>
      <c r="EC11" s="47">
        <v>4241.7600229999998</v>
      </c>
      <c r="ED11" s="47">
        <v>3607</v>
      </c>
      <c r="EE11" s="47">
        <v>4275.299210000001</v>
      </c>
      <c r="EF11" s="47">
        <v>3344.6524100000011</v>
      </c>
      <c r="EG11" s="47">
        <v>3644</v>
      </c>
      <c r="EH11" s="47">
        <v>2709</v>
      </c>
      <c r="EI11" s="47">
        <v>3686.78342968883</v>
      </c>
      <c r="EJ11" s="47">
        <v>4007</v>
      </c>
      <c r="EK11" s="47">
        <v>4646.2523386714083</v>
      </c>
      <c r="EL11" s="47">
        <v>4766.8653880880156</v>
      </c>
    </row>
    <row r="12" spans="2:142" ht="15" customHeight="1">
      <c r="B12" s="14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 t="s">
        <v>27</v>
      </c>
      <c r="EK12" s="2" t="s">
        <v>27</v>
      </c>
      <c r="EL12" s="2" t="s">
        <v>27</v>
      </c>
    </row>
    <row r="13" spans="2:142">
      <c r="B13" s="18" t="s">
        <v>13</v>
      </c>
      <c r="C13" s="1">
        <v>3995.6619999999998</v>
      </c>
      <c r="D13" s="1">
        <v>2432.0520000000001</v>
      </c>
      <c r="E13" s="1">
        <v>2757.6179999999999</v>
      </c>
      <c r="F13" s="1">
        <v>2464.5239999999999</v>
      </c>
      <c r="G13" s="1">
        <v>3431.8539999999998</v>
      </c>
      <c r="H13" s="1">
        <v>3364.558</v>
      </c>
      <c r="I13" s="1">
        <v>2996.5149999999999</v>
      </c>
      <c r="J13" s="1">
        <v>3264.92</v>
      </c>
      <c r="K13" s="1">
        <v>3805.672</v>
      </c>
      <c r="L13" s="1">
        <v>4311.6059999999998</v>
      </c>
      <c r="M13" s="1">
        <v>3900.1950000000002</v>
      </c>
      <c r="N13" s="1">
        <v>2865.7190000000001</v>
      </c>
      <c r="O13" s="1">
        <v>2154.5990000000002</v>
      </c>
      <c r="P13" s="1">
        <v>1965.9760000000001</v>
      </c>
      <c r="Q13" s="1">
        <v>1979.329</v>
      </c>
      <c r="R13" s="1">
        <v>1665.607</v>
      </c>
      <c r="S13" s="1">
        <v>2187.5940000000001</v>
      </c>
      <c r="T13" s="1">
        <v>2834.1619999999998</v>
      </c>
      <c r="U13" s="1">
        <v>4550.4591117439404</v>
      </c>
      <c r="V13" s="1">
        <v>2168</v>
      </c>
      <c r="W13" s="1">
        <v>3471</v>
      </c>
      <c r="X13" s="1">
        <v>2780</v>
      </c>
      <c r="Y13" s="1">
        <v>3374</v>
      </c>
      <c r="Z13" s="1">
        <v>2545</v>
      </c>
      <c r="AA13" s="1">
        <v>2827.1314399426074</v>
      </c>
      <c r="AB13" s="1">
        <v>2197.9249274067606</v>
      </c>
      <c r="AC13" s="1">
        <v>1952.2331262787766</v>
      </c>
      <c r="AD13" s="1">
        <v>1944.1882900479193</v>
      </c>
      <c r="AE13" s="1">
        <v>4235.8037133720673</v>
      </c>
      <c r="AF13" s="1">
        <v>3350.5730779851638</v>
      </c>
      <c r="AG13" s="1">
        <v>3783.9877973893836</v>
      </c>
      <c r="AH13" s="1">
        <v>2248.8634008337335</v>
      </c>
      <c r="AI13" s="1">
        <v>3167.8254930986036</v>
      </c>
      <c r="AJ13" s="1">
        <v>2740.5522572844989</v>
      </c>
      <c r="AK13" s="1">
        <v>2824.8093286659951</v>
      </c>
      <c r="AL13" s="1">
        <v>2375.6976703226337</v>
      </c>
      <c r="AM13" s="1">
        <v>2711.9459357203859</v>
      </c>
      <c r="AN13" s="1">
        <v>2213.5419304692196</v>
      </c>
      <c r="AO13" s="1">
        <v>2625.6507465073823</v>
      </c>
      <c r="AP13" s="1">
        <v>3623.6710057622372</v>
      </c>
      <c r="AQ13" s="1">
        <v>5312.259821650111</v>
      </c>
      <c r="AR13" s="1">
        <v>3236.9773159331044</v>
      </c>
      <c r="AS13" s="1">
        <v>2506.9213853410929</v>
      </c>
      <c r="AT13" s="1">
        <v>3248.2131532301551</v>
      </c>
      <c r="AU13" s="1">
        <v>3068.8985213770452</v>
      </c>
      <c r="AV13" s="1">
        <v>3548.5413792026702</v>
      </c>
      <c r="AW13" s="1">
        <v>3860.3636334786556</v>
      </c>
      <c r="AX13" s="1">
        <v>3322.3375150883048</v>
      </c>
      <c r="AY13" s="1">
        <v>3285.9211278846424</v>
      </c>
      <c r="AZ13" s="1">
        <v>3275.367963894535</v>
      </c>
      <c r="BA13" s="1">
        <v>2595.5332945911496</v>
      </c>
      <c r="BB13" s="1">
        <v>3187.4593004875064</v>
      </c>
      <c r="BC13" s="1">
        <v>3216.856486738187</v>
      </c>
      <c r="BD13" s="1">
        <v>3448.1296318142449</v>
      </c>
      <c r="BE13" s="1">
        <v>4706.4655499977225</v>
      </c>
      <c r="BF13" s="1">
        <v>5217.2768797378139</v>
      </c>
      <c r="BG13" s="1">
        <v>4549.6035897386637</v>
      </c>
      <c r="BH13" s="1">
        <v>3363.879722204646</v>
      </c>
      <c r="BI13" s="1">
        <v>3263.6028124100658</v>
      </c>
      <c r="BJ13" s="1">
        <v>2776.8408968310914</v>
      </c>
      <c r="BK13" s="1">
        <v>3384.9869073488953</v>
      </c>
      <c r="BL13" s="1">
        <v>2595.2257841986539</v>
      </c>
      <c r="BM13" s="1">
        <v>2322.576</v>
      </c>
      <c r="BN13" s="1">
        <v>2420.4089115133152</v>
      </c>
      <c r="BO13" s="1">
        <v>2564.6712878129483</v>
      </c>
      <c r="BP13" s="1">
        <v>2716.5349443979003</v>
      </c>
      <c r="BQ13" s="1">
        <v>2374.9405087742862</v>
      </c>
      <c r="BR13" s="1">
        <v>3349.729051498372</v>
      </c>
      <c r="BS13" s="1">
        <v>3397.1123268279061</v>
      </c>
      <c r="BT13" s="1">
        <v>3086.9337448876686</v>
      </c>
      <c r="BU13" s="1">
        <v>3091.331142080594</v>
      </c>
      <c r="BV13" s="1">
        <v>2024.628901095638</v>
      </c>
      <c r="BW13" s="1">
        <v>2798.2143090113809</v>
      </c>
      <c r="BX13" s="1">
        <v>2885</v>
      </c>
      <c r="BY13" s="1">
        <v>2697.9014955091475</v>
      </c>
      <c r="BZ13" s="1">
        <v>4047.4701234267391</v>
      </c>
      <c r="CA13" s="1">
        <v>2695.5486019560763</v>
      </c>
      <c r="CB13" s="1">
        <v>3404.1461260100059</v>
      </c>
      <c r="CC13" s="1">
        <v>3099.1012344114397</v>
      </c>
      <c r="CD13" s="1">
        <v>3546.2148267545208</v>
      </c>
      <c r="CE13" s="1">
        <v>3414.0551491887113</v>
      </c>
      <c r="CF13" s="1">
        <v>3571.8344014671015</v>
      </c>
      <c r="CG13" s="1">
        <v>1789.2138941896073</v>
      </c>
      <c r="CH13" s="1">
        <v>3329.0482082890794</v>
      </c>
      <c r="CI13" s="1">
        <v>3292.0155999780559</v>
      </c>
      <c r="CJ13" s="1">
        <v>2249.3733319443277</v>
      </c>
      <c r="CK13" s="1">
        <v>3094.7594093452321</v>
      </c>
      <c r="CL13" s="1">
        <v>3127.2301325385124</v>
      </c>
      <c r="CM13" s="1">
        <v>2214.2061303981004</v>
      </c>
      <c r="CN13" s="1">
        <v>2609.1196866616829</v>
      </c>
      <c r="CO13" s="1">
        <v>3352.0764595840851</v>
      </c>
      <c r="CP13" s="1">
        <v>3918.9679856445136</v>
      </c>
      <c r="CQ13" s="1">
        <v>3015.2611567418521</v>
      </c>
      <c r="CR13" s="1">
        <v>3419.7523194099963</v>
      </c>
      <c r="CS13" s="1">
        <v>3371.0654231085759</v>
      </c>
      <c r="CT13" s="1">
        <v>4468.9779924639142</v>
      </c>
      <c r="CU13" s="1">
        <v>3087.9279872553275</v>
      </c>
      <c r="CV13" s="1">
        <v>3036.5535284818766</v>
      </c>
      <c r="CW13" s="1">
        <v>3482.1432461997679</v>
      </c>
      <c r="CX13" s="1">
        <v>2937.3378618429956</v>
      </c>
      <c r="CY13" s="1">
        <v>2855.4131834345981</v>
      </c>
      <c r="CZ13" s="1">
        <v>3453.7808622565826</v>
      </c>
      <c r="DA13" s="1">
        <v>3672.458049791444</v>
      </c>
      <c r="DB13" s="32">
        <v>4259.4925267537647</v>
      </c>
      <c r="DC13" s="1">
        <v>4541.3816960781551</v>
      </c>
      <c r="DD13" s="1">
        <v>3661</v>
      </c>
      <c r="DE13" s="25">
        <v>3723.6551561460124</v>
      </c>
      <c r="DF13" s="25">
        <v>5818.2530453198251</v>
      </c>
      <c r="DG13" s="28">
        <v>1629.4540155449138</v>
      </c>
      <c r="DH13" s="29">
        <v>3068.6739998375215</v>
      </c>
      <c r="DI13" s="29">
        <v>5077</v>
      </c>
      <c r="DJ13" s="32">
        <v>2475.8761203456297</v>
      </c>
      <c r="DK13" s="32">
        <v>3566</v>
      </c>
      <c r="DL13" s="32">
        <v>3260.2158058723548</v>
      </c>
      <c r="DM13" s="32">
        <v>3644</v>
      </c>
      <c r="DN13" s="32">
        <v>3187.878597729627</v>
      </c>
      <c r="DO13" s="32">
        <v>3774</v>
      </c>
      <c r="DP13" s="32">
        <v>3084</v>
      </c>
      <c r="DQ13" s="32">
        <v>2806</v>
      </c>
      <c r="DR13" s="32">
        <v>4735.1863067427312</v>
      </c>
      <c r="DS13" s="32">
        <v>3523.8862722344475</v>
      </c>
      <c r="DT13" s="36">
        <v>2752.6356371848397</v>
      </c>
      <c r="DU13" s="36">
        <v>2604</v>
      </c>
      <c r="DV13" s="39">
        <v>2677.7475969007983</v>
      </c>
      <c r="DW13" s="39">
        <v>3361.2864360562785</v>
      </c>
      <c r="DX13" s="39">
        <v>3200.215170863617</v>
      </c>
      <c r="DY13" s="43">
        <v>3711.5003830350975</v>
      </c>
      <c r="DZ13" s="43">
        <v>2894</v>
      </c>
      <c r="EA13" s="43">
        <v>3657</v>
      </c>
      <c r="EB13" s="47">
        <v>3594.5329999999999</v>
      </c>
      <c r="EC13" s="47">
        <v>1362.8844336347952</v>
      </c>
      <c r="ED13" s="47">
        <v>2488</v>
      </c>
      <c r="EE13" s="47">
        <v>2079.0386979999989</v>
      </c>
      <c r="EF13" s="47">
        <v>1790.3702419184708</v>
      </c>
      <c r="EG13" s="47">
        <v>2471</v>
      </c>
      <c r="EH13" s="47">
        <v>2169.740378711665</v>
      </c>
      <c r="EI13" s="47">
        <v>2580.1084883154576</v>
      </c>
      <c r="EJ13" s="47">
        <v>2702.9599297589994</v>
      </c>
      <c r="EK13" s="47">
        <v>2657.9984742410015</v>
      </c>
      <c r="EL13" s="47">
        <v>3609.1064399999996</v>
      </c>
    </row>
    <row r="14" spans="2:142">
      <c r="B14" s="18" t="s">
        <v>14</v>
      </c>
      <c r="C14" s="1">
        <v>11382.557000000001</v>
      </c>
      <c r="D14" s="1">
        <v>9484.1679999999997</v>
      </c>
      <c r="E14" s="1">
        <v>9612.2479999999996</v>
      </c>
      <c r="F14" s="1">
        <v>10230.904</v>
      </c>
      <c r="G14" s="1">
        <v>10848.269</v>
      </c>
      <c r="H14" s="1">
        <v>11159.761</v>
      </c>
      <c r="I14" s="1">
        <v>11683.09</v>
      </c>
      <c r="J14" s="1">
        <v>13038.752</v>
      </c>
      <c r="K14" s="1">
        <v>13399.040999999999</v>
      </c>
      <c r="L14" s="1">
        <v>11784.266</v>
      </c>
      <c r="M14" s="1">
        <v>9367.0059999999994</v>
      </c>
      <c r="N14" s="1">
        <v>10294.723</v>
      </c>
      <c r="O14" s="1">
        <v>10026.308000000001</v>
      </c>
      <c r="P14" s="1">
        <v>9296.68</v>
      </c>
      <c r="Q14" s="1">
        <v>9054.3580000000002</v>
      </c>
      <c r="R14" s="1">
        <v>7379.1310000000003</v>
      </c>
      <c r="S14" s="1">
        <v>8845.2340000000004</v>
      </c>
      <c r="T14" s="1">
        <v>10630.78</v>
      </c>
      <c r="U14" s="1">
        <v>11508.0814000915</v>
      </c>
      <c r="V14" s="1">
        <v>13867</v>
      </c>
      <c r="W14" s="1">
        <v>12369.486819076201</v>
      </c>
      <c r="X14" s="1">
        <v>12040</v>
      </c>
      <c r="Y14" s="1">
        <v>10950.3061227008</v>
      </c>
      <c r="Z14" s="1">
        <v>11788.1177795244</v>
      </c>
      <c r="AA14" s="1">
        <v>11099.736088207164</v>
      </c>
      <c r="AB14" s="1">
        <v>7691.4086965639308</v>
      </c>
      <c r="AC14" s="1">
        <v>9598.5194421109027</v>
      </c>
      <c r="AD14" s="1">
        <v>7508.8258487517223</v>
      </c>
      <c r="AE14" s="1">
        <v>12011.404162198292</v>
      </c>
      <c r="AF14" s="1">
        <v>9969.1501543629074</v>
      </c>
      <c r="AG14" s="1">
        <v>10451.318853168794</v>
      </c>
      <c r="AH14" s="1">
        <v>10341.703482046009</v>
      </c>
      <c r="AI14" s="1">
        <v>11272.657629452331</v>
      </c>
      <c r="AJ14" s="1">
        <v>11278.601161979719</v>
      </c>
      <c r="AK14" s="1">
        <v>11881.002145522518</v>
      </c>
      <c r="AL14" s="1">
        <v>10397.444642003111</v>
      </c>
      <c r="AM14" s="1">
        <v>13766.361543692121</v>
      </c>
      <c r="AN14" s="1">
        <v>10136.062411783498</v>
      </c>
      <c r="AO14" s="1">
        <v>10968.603498025268</v>
      </c>
      <c r="AP14" s="1">
        <v>11854.484991532632</v>
      </c>
      <c r="AQ14" s="1">
        <v>10833.09920636779</v>
      </c>
      <c r="AR14" s="1">
        <v>11531.716239821275</v>
      </c>
      <c r="AS14" s="1">
        <v>11040.8160395513</v>
      </c>
      <c r="AT14" s="1">
        <v>10471.511978153829</v>
      </c>
      <c r="AU14" s="1">
        <v>12497.871562643282</v>
      </c>
      <c r="AV14" s="1">
        <v>13369.855401082998</v>
      </c>
      <c r="AW14" s="1">
        <v>12447.503816694738</v>
      </c>
      <c r="AX14" s="1">
        <v>11673.126640955799</v>
      </c>
      <c r="AY14" s="1">
        <v>12128.630419427513</v>
      </c>
      <c r="AZ14" s="1">
        <v>9942.7714601148546</v>
      </c>
      <c r="BA14" s="1">
        <v>10571.754220173989</v>
      </c>
      <c r="BB14" s="1">
        <v>11115.824894267245</v>
      </c>
      <c r="BC14" s="1">
        <v>10995.379745563994</v>
      </c>
      <c r="BD14" s="1">
        <v>10155.048605846856</v>
      </c>
      <c r="BE14" s="1">
        <v>10484.654387021901</v>
      </c>
      <c r="BF14" s="1">
        <v>10636.418895816982</v>
      </c>
      <c r="BG14" s="1">
        <v>10443.766068788704</v>
      </c>
      <c r="BH14" s="1">
        <v>12839.416275769228</v>
      </c>
      <c r="BI14" s="1">
        <v>10390.132853193119</v>
      </c>
      <c r="BJ14" s="1">
        <v>11566.184551291337</v>
      </c>
      <c r="BK14" s="1">
        <v>11328.745843589591</v>
      </c>
      <c r="BL14" s="1">
        <v>9422.6060265812757</v>
      </c>
      <c r="BM14" s="1">
        <v>11044.767</v>
      </c>
      <c r="BN14" s="1">
        <v>8648.9339453820994</v>
      </c>
      <c r="BO14" s="1">
        <v>6225.6194983455007</v>
      </c>
      <c r="BP14" s="1">
        <v>8432.0098265496872</v>
      </c>
      <c r="BQ14" s="1">
        <v>9721.9835178003013</v>
      </c>
      <c r="BR14" s="1">
        <v>11485.286880780626</v>
      </c>
      <c r="BS14" s="1">
        <v>11461.352505487514</v>
      </c>
      <c r="BT14" s="1">
        <v>12766.533497728642</v>
      </c>
      <c r="BU14" s="1">
        <v>11988.033286306048</v>
      </c>
      <c r="BV14" s="1">
        <v>13822.452664286813</v>
      </c>
      <c r="BW14" s="1">
        <v>14121.700105137272</v>
      </c>
      <c r="BX14" s="1">
        <v>8838</v>
      </c>
      <c r="BY14" s="1">
        <v>10165.925868187966</v>
      </c>
      <c r="BZ14" s="1">
        <v>12367.463554563972</v>
      </c>
      <c r="CA14" s="1">
        <v>11092.754256448612</v>
      </c>
      <c r="CB14" s="1">
        <v>13024.652338785005</v>
      </c>
      <c r="CC14" s="1">
        <v>12884.976959992104</v>
      </c>
      <c r="CD14" s="1">
        <v>13815.39794968324</v>
      </c>
      <c r="CE14" s="1">
        <v>14164.233486633633</v>
      </c>
      <c r="CF14" s="1">
        <v>13799.53745812032</v>
      </c>
      <c r="CG14" s="1">
        <v>13970.292183129228</v>
      </c>
      <c r="CH14" s="1">
        <v>13215.34186292664</v>
      </c>
      <c r="CI14" s="1">
        <v>11305.853531103332</v>
      </c>
      <c r="CJ14" s="1">
        <v>11726.93082949483</v>
      </c>
      <c r="CK14" s="1">
        <v>10606.094356419795</v>
      </c>
      <c r="CL14" s="1">
        <v>12507.532569522262</v>
      </c>
      <c r="CM14" s="1">
        <v>11825.173828282066</v>
      </c>
      <c r="CN14" s="1">
        <v>12944.63705509691</v>
      </c>
      <c r="CO14" s="1">
        <v>14186.76076176378</v>
      </c>
      <c r="CP14" s="1">
        <v>13980.379524350461</v>
      </c>
      <c r="CQ14" s="1">
        <v>15758.717978270664</v>
      </c>
      <c r="CR14" s="1">
        <v>14914.049255351956</v>
      </c>
      <c r="CS14" s="1">
        <v>13595.714249004979</v>
      </c>
      <c r="CT14" s="1">
        <v>13034.241674934723</v>
      </c>
      <c r="CU14" s="1">
        <v>13361.29598296833</v>
      </c>
      <c r="CV14" s="1">
        <v>10791.26927390239</v>
      </c>
      <c r="CW14" s="1">
        <v>11568.795570649874</v>
      </c>
      <c r="CX14" s="1">
        <v>13795.406188828736</v>
      </c>
      <c r="CY14" s="1">
        <v>14085.540437347101</v>
      </c>
      <c r="CZ14" s="1">
        <v>13308.957894106958</v>
      </c>
      <c r="DA14" s="1">
        <v>14563.055367370534</v>
      </c>
      <c r="DB14" s="32">
        <v>14526.052830376704</v>
      </c>
      <c r="DC14" s="1">
        <v>13789.381620703325</v>
      </c>
      <c r="DD14" s="1">
        <v>14387</v>
      </c>
      <c r="DE14" s="25">
        <v>13664.895709739962</v>
      </c>
      <c r="DF14" s="25">
        <v>13718.880665927905</v>
      </c>
      <c r="DG14" s="28">
        <v>11864.006835158061</v>
      </c>
      <c r="DH14" s="29">
        <v>11745.186037118696</v>
      </c>
      <c r="DI14" s="29">
        <v>12331</v>
      </c>
      <c r="DJ14" s="32">
        <v>11624.532606698704</v>
      </c>
      <c r="DK14" s="32">
        <v>12517</v>
      </c>
      <c r="DL14" s="32">
        <v>13267.494699349831</v>
      </c>
      <c r="DM14" s="32">
        <v>14487</v>
      </c>
      <c r="DN14" s="32">
        <v>15361.306563803606</v>
      </c>
      <c r="DO14" s="32">
        <v>14611</v>
      </c>
      <c r="DP14" s="32">
        <v>15406</v>
      </c>
      <c r="DQ14" s="32">
        <v>15588</v>
      </c>
      <c r="DR14" s="32">
        <v>14428.151879764002</v>
      </c>
      <c r="DS14" s="32">
        <v>12875.312529918898</v>
      </c>
      <c r="DT14" s="36">
        <v>12889.402654631913</v>
      </c>
      <c r="DU14" s="36">
        <v>13529</v>
      </c>
      <c r="DV14" s="39">
        <v>13125.865835309836</v>
      </c>
      <c r="DW14" s="39">
        <v>13298.410496776502</v>
      </c>
      <c r="DX14" s="39">
        <v>13871.093563368075</v>
      </c>
      <c r="DY14" s="43">
        <v>14649.762343943528</v>
      </c>
      <c r="DZ14" s="43">
        <v>15506</v>
      </c>
      <c r="EA14" s="43">
        <v>14501</v>
      </c>
      <c r="EB14" s="47">
        <v>17462.561000000002</v>
      </c>
      <c r="EC14" s="47">
        <v>12332.950440846842</v>
      </c>
      <c r="ED14" s="47">
        <v>10623</v>
      </c>
      <c r="EE14" s="47">
        <v>15574.738132900004</v>
      </c>
      <c r="EF14" s="47">
        <v>13192.68573573307</v>
      </c>
      <c r="EG14" s="47">
        <v>13953</v>
      </c>
      <c r="EH14" s="47">
        <v>13171.381057340086</v>
      </c>
      <c r="EI14" s="47">
        <v>14884.558802909407</v>
      </c>
      <c r="EJ14" s="47">
        <v>14557.040076471694</v>
      </c>
      <c r="EK14" s="47">
        <v>16441.304983861999</v>
      </c>
      <c r="EL14" s="47">
        <v>15374.203630000002</v>
      </c>
    </row>
    <row r="15" spans="2:142">
      <c r="B15" s="18" t="s">
        <v>15</v>
      </c>
      <c r="C15" s="1">
        <v>9905.1820000000007</v>
      </c>
      <c r="D15" s="1">
        <v>10825.620999999999</v>
      </c>
      <c r="E15" s="1">
        <v>11797.708000000001</v>
      </c>
      <c r="F15" s="1">
        <v>12439.31</v>
      </c>
      <c r="G15" s="1">
        <v>12611.725</v>
      </c>
      <c r="H15" s="1">
        <v>13492.769</v>
      </c>
      <c r="I15" s="1">
        <v>13439.07</v>
      </c>
      <c r="J15" s="1">
        <v>15307.579</v>
      </c>
      <c r="K15" s="1">
        <v>14940.066000000001</v>
      </c>
      <c r="L15" s="1">
        <v>13946.129000000001</v>
      </c>
      <c r="M15" s="1">
        <v>12463.02</v>
      </c>
      <c r="N15" s="1">
        <v>12068.647000000001</v>
      </c>
      <c r="O15" s="1">
        <v>10634.392</v>
      </c>
      <c r="P15" s="1">
        <v>11829.152</v>
      </c>
      <c r="Q15" s="1">
        <v>13750.725</v>
      </c>
      <c r="R15" s="1">
        <v>13002.305</v>
      </c>
      <c r="S15" s="1">
        <v>13105.302</v>
      </c>
      <c r="T15" s="1">
        <v>13375.986000000001</v>
      </c>
      <c r="U15" s="1">
        <v>14932.6253419315</v>
      </c>
      <c r="V15" s="1">
        <v>15486</v>
      </c>
      <c r="W15" s="1">
        <v>15943</v>
      </c>
      <c r="X15" s="1">
        <v>13618</v>
      </c>
      <c r="Y15" s="1">
        <v>14271.3601290363</v>
      </c>
      <c r="Z15" s="1">
        <v>13442.7425775254</v>
      </c>
      <c r="AA15" s="1">
        <v>12373.718087284256</v>
      </c>
      <c r="AB15" s="1">
        <v>11174.183000841029</v>
      </c>
      <c r="AC15" s="1">
        <v>14932.849162540168</v>
      </c>
      <c r="AD15" s="1">
        <v>14741.211318331601</v>
      </c>
      <c r="AE15" s="1">
        <v>15138.950612035054</v>
      </c>
      <c r="AF15" s="1">
        <v>14654.94838733287</v>
      </c>
      <c r="AG15" s="1">
        <v>14720.70495671485</v>
      </c>
      <c r="AH15" s="1">
        <v>15453.67297459902</v>
      </c>
      <c r="AI15" s="1">
        <v>12961.696633758154</v>
      </c>
      <c r="AJ15" s="1">
        <v>11563.704678963888</v>
      </c>
      <c r="AK15" s="1">
        <v>13977.213971497036</v>
      </c>
      <c r="AL15" s="1">
        <v>12561.220546834737</v>
      </c>
      <c r="AM15" s="1">
        <v>12020.029559093198</v>
      </c>
      <c r="AN15" s="1">
        <v>12815.662471133761</v>
      </c>
      <c r="AO15" s="1">
        <v>16824.28164633322</v>
      </c>
      <c r="AP15" s="1">
        <v>15054.855465958126</v>
      </c>
      <c r="AQ15" s="1">
        <v>16107.882909729837</v>
      </c>
      <c r="AR15" s="1">
        <v>14697.337211023028</v>
      </c>
      <c r="AS15" s="1">
        <v>15470.607598569059</v>
      </c>
      <c r="AT15" s="1">
        <v>15490.647971297223</v>
      </c>
      <c r="AU15" s="1">
        <v>14109.144363424386</v>
      </c>
      <c r="AV15" s="1">
        <v>15543.362493673831</v>
      </c>
      <c r="AW15" s="1">
        <v>12150.978537357205</v>
      </c>
      <c r="AX15" s="1">
        <v>13277.486510361421</v>
      </c>
      <c r="AY15" s="1">
        <v>12826.786635636639</v>
      </c>
      <c r="AZ15" s="1">
        <v>12392.770396526759</v>
      </c>
      <c r="BA15" s="1">
        <v>16141.986567877713</v>
      </c>
      <c r="BB15" s="1">
        <v>14270.069272154788</v>
      </c>
      <c r="BC15" s="1">
        <v>16593.948736018363</v>
      </c>
      <c r="BD15" s="1">
        <v>15995.088896391044</v>
      </c>
      <c r="BE15" s="1">
        <v>15756.645976675207</v>
      </c>
      <c r="BF15" s="1">
        <v>15726.578984282813</v>
      </c>
      <c r="BG15" s="1">
        <v>13559.07415870948</v>
      </c>
      <c r="BH15" s="1">
        <v>14699.811750537812</v>
      </c>
      <c r="BI15" s="1">
        <v>12494.746999999999</v>
      </c>
      <c r="BJ15" s="1">
        <v>11920.561069704218</v>
      </c>
      <c r="BK15" s="1">
        <v>12421.752008792388</v>
      </c>
      <c r="BL15" s="1">
        <v>12994.517999018817</v>
      </c>
      <c r="BM15" s="1">
        <v>11301.116</v>
      </c>
      <c r="BN15" s="1">
        <v>16892.849219680811</v>
      </c>
      <c r="BO15" s="1">
        <v>15973.040701323356</v>
      </c>
      <c r="BP15" s="1">
        <v>15754.317005638326</v>
      </c>
      <c r="BQ15" s="1">
        <v>15003.018912922355</v>
      </c>
      <c r="BR15" s="1">
        <v>15133.361431323498</v>
      </c>
      <c r="BS15" s="1">
        <v>15397.988934368146</v>
      </c>
      <c r="BT15" s="1">
        <v>15491.981019591798</v>
      </c>
      <c r="BU15" s="1">
        <v>13818.866282518135</v>
      </c>
      <c r="BV15" s="1">
        <v>14075.59013492387</v>
      </c>
      <c r="BW15" s="1">
        <v>14348.67269399012</v>
      </c>
      <c r="BX15" s="1">
        <v>13427</v>
      </c>
      <c r="BY15" s="1">
        <v>13639.065286189405</v>
      </c>
      <c r="BZ15" s="1">
        <v>17003.829328949949</v>
      </c>
      <c r="CA15" s="1">
        <v>16342.252079313233</v>
      </c>
      <c r="CB15" s="1">
        <v>16130.339973534674</v>
      </c>
      <c r="CC15" s="1">
        <v>15552.63764713282</v>
      </c>
      <c r="CD15" s="1">
        <v>16808.073354265227</v>
      </c>
      <c r="CE15" s="1">
        <v>14192.291410216465</v>
      </c>
      <c r="CF15" s="1">
        <v>15849.498447202935</v>
      </c>
      <c r="CG15" s="1">
        <v>14482.974345255803</v>
      </c>
      <c r="CH15" s="1">
        <v>13462.334579938326</v>
      </c>
      <c r="CI15" s="1">
        <v>11163.453198122412</v>
      </c>
      <c r="CJ15" s="1">
        <v>12195.788720611263</v>
      </c>
      <c r="CK15" s="1">
        <v>15206.620354047205</v>
      </c>
      <c r="CL15" s="1">
        <v>15256.691735438842</v>
      </c>
      <c r="CM15" s="1">
        <v>15119.434253894215</v>
      </c>
      <c r="CN15" s="1">
        <v>14723.307113491599</v>
      </c>
      <c r="CO15" s="1">
        <v>15722.985104089767</v>
      </c>
      <c r="CP15" s="1">
        <v>15608.824703596469</v>
      </c>
      <c r="CQ15" s="1">
        <v>15451.767642104429</v>
      </c>
      <c r="CR15" s="1">
        <v>15741.807519313286</v>
      </c>
      <c r="CS15" s="1">
        <v>14355.018276004252</v>
      </c>
      <c r="CT15" s="1">
        <v>15081.20027245239</v>
      </c>
      <c r="CU15" s="1">
        <v>12269.303453136614</v>
      </c>
      <c r="CV15" s="1">
        <v>12998.926519735331</v>
      </c>
      <c r="CW15" s="1">
        <v>15669.204717540762</v>
      </c>
      <c r="CX15" s="1">
        <v>14945.331333289401</v>
      </c>
      <c r="CY15" s="1">
        <v>16944.471124433869</v>
      </c>
      <c r="CZ15" s="1">
        <v>16487.54602488532</v>
      </c>
      <c r="DA15" s="1">
        <v>16920.030837738745</v>
      </c>
      <c r="DB15" s="32">
        <v>13546.482062817344</v>
      </c>
      <c r="DC15" s="1">
        <v>16701.966949115595</v>
      </c>
      <c r="DD15" s="1">
        <v>16941</v>
      </c>
      <c r="DE15" s="25">
        <v>15917.081636959058</v>
      </c>
      <c r="DF15" s="25">
        <v>11515.147797115815</v>
      </c>
      <c r="DG15" s="28">
        <v>10866.307422215286</v>
      </c>
      <c r="DH15" s="29">
        <v>13093.466991227977</v>
      </c>
      <c r="DI15" s="29">
        <v>16591</v>
      </c>
      <c r="DJ15" s="32">
        <v>15647.962065624444</v>
      </c>
      <c r="DK15" s="32">
        <v>16287</v>
      </c>
      <c r="DL15" s="32">
        <v>15582.887719287348</v>
      </c>
      <c r="DM15" s="32">
        <v>16907</v>
      </c>
      <c r="DN15" s="32">
        <v>17170.160935679996</v>
      </c>
      <c r="DO15" s="32">
        <v>17041</v>
      </c>
      <c r="DP15" s="32">
        <v>18917</v>
      </c>
      <c r="DQ15" s="32">
        <v>13309</v>
      </c>
      <c r="DR15" s="32">
        <v>15593.485318131348</v>
      </c>
      <c r="DS15" s="32">
        <v>13719.962907576613</v>
      </c>
      <c r="DT15" s="36">
        <v>13807.668451209078</v>
      </c>
      <c r="DU15" s="36">
        <v>15699</v>
      </c>
      <c r="DV15" s="39">
        <v>17507.074145984159</v>
      </c>
      <c r="DW15" s="39">
        <v>17527.403206342649</v>
      </c>
      <c r="DX15" s="39">
        <v>15877.793223051611</v>
      </c>
      <c r="DY15" s="43">
        <v>17614.920057054849</v>
      </c>
      <c r="DZ15" s="43">
        <v>16856</v>
      </c>
      <c r="EA15" s="43">
        <v>15491</v>
      </c>
      <c r="EB15" s="47">
        <v>18102.991999999998</v>
      </c>
      <c r="EC15" s="47">
        <v>13885.167205838601</v>
      </c>
      <c r="ED15" s="47">
        <v>16760</v>
      </c>
      <c r="EE15" s="47">
        <v>13289.413820499998</v>
      </c>
      <c r="EF15" s="47">
        <v>13523.189429615873</v>
      </c>
      <c r="EG15" s="47">
        <v>17205</v>
      </c>
      <c r="EH15" s="47">
        <v>16337.803586501032</v>
      </c>
      <c r="EI15" s="47">
        <v>16860.585489440822</v>
      </c>
      <c r="EJ15" s="47">
        <v>17199.460028009995</v>
      </c>
      <c r="EK15" s="47">
        <v>19004.272636990005</v>
      </c>
      <c r="EL15" s="47">
        <v>18526.397410000001</v>
      </c>
    </row>
    <row r="16" spans="2:142">
      <c r="B16" s="18" t="s">
        <v>16</v>
      </c>
      <c r="C16" s="1">
        <v>1326.1479999999999</v>
      </c>
      <c r="D16" s="1">
        <v>1016.5410000000001</v>
      </c>
      <c r="E16" s="1">
        <v>1304.403</v>
      </c>
      <c r="F16" s="1">
        <v>1385.0360000000001</v>
      </c>
      <c r="G16" s="1">
        <v>1250.278</v>
      </c>
      <c r="H16" s="1">
        <v>1416.424</v>
      </c>
      <c r="I16" s="1">
        <v>1362.04</v>
      </c>
      <c r="J16" s="1">
        <v>1410.337</v>
      </c>
      <c r="K16" s="1">
        <v>1385.2950000000001</v>
      </c>
      <c r="L16" s="1">
        <v>1461.087</v>
      </c>
      <c r="M16" s="1">
        <v>1247.06</v>
      </c>
      <c r="N16" s="1">
        <v>1238.008</v>
      </c>
      <c r="O16" s="1">
        <v>1110.896</v>
      </c>
      <c r="P16" s="1">
        <v>1314.365</v>
      </c>
      <c r="Q16" s="1">
        <v>1337.0540000000001</v>
      </c>
      <c r="R16" s="1">
        <v>1252.9770000000001</v>
      </c>
      <c r="S16" s="1">
        <v>1369.008</v>
      </c>
      <c r="T16" s="1">
        <v>1323.308</v>
      </c>
      <c r="U16" s="1">
        <v>3485.9723761687501</v>
      </c>
      <c r="V16" s="1">
        <v>3656.30999183125</v>
      </c>
      <c r="W16" s="1">
        <v>4397</v>
      </c>
      <c r="X16" s="1">
        <v>4508.8644670970198</v>
      </c>
      <c r="Y16" s="1">
        <v>4714.2205350000004</v>
      </c>
      <c r="Z16" s="1">
        <v>4388.8710113632296</v>
      </c>
      <c r="AA16" s="1">
        <v>4137.7800828475783</v>
      </c>
      <c r="AB16" s="1">
        <v>3107.6639220999991</v>
      </c>
      <c r="AC16" s="1">
        <v>5458.5776421872924</v>
      </c>
      <c r="AD16" s="1">
        <v>4677.6931688826617</v>
      </c>
      <c r="AE16" s="1">
        <v>5288.4931679300471</v>
      </c>
      <c r="AF16" s="1">
        <v>5415.4463879659716</v>
      </c>
      <c r="AG16" s="1">
        <v>5282.364451155504</v>
      </c>
      <c r="AH16" s="1">
        <v>3743.6773090680535</v>
      </c>
      <c r="AI16" s="1">
        <v>5045.9058279319461</v>
      </c>
      <c r="AJ16" s="1">
        <v>5302.5721706779777</v>
      </c>
      <c r="AK16" s="1">
        <v>4855.7120662400648</v>
      </c>
      <c r="AL16" s="1">
        <v>5045.1234529232806</v>
      </c>
      <c r="AM16" s="1">
        <v>4837.5077682720803</v>
      </c>
      <c r="AN16" s="1">
        <v>4451.1079830080644</v>
      </c>
      <c r="AO16" s="1">
        <v>5516.3587952496946</v>
      </c>
      <c r="AP16" s="1">
        <v>4727.1951233534501</v>
      </c>
      <c r="AQ16" s="1">
        <v>5592.9632404483955</v>
      </c>
      <c r="AR16" s="1">
        <v>4526.0687956064576</v>
      </c>
      <c r="AS16" s="1">
        <v>5285.9498273427334</v>
      </c>
      <c r="AT16" s="1">
        <v>5549.7420514576943</v>
      </c>
      <c r="AU16" s="1">
        <v>4722.7110423386866</v>
      </c>
      <c r="AV16" s="1">
        <v>5277.2421975242351</v>
      </c>
      <c r="AW16" s="1">
        <v>4777.2925210554904</v>
      </c>
      <c r="AX16" s="1">
        <v>4797.4518839760349</v>
      </c>
      <c r="AY16" s="1">
        <v>4302.804641297952</v>
      </c>
      <c r="AZ16" s="1">
        <v>4088.1305178613416</v>
      </c>
      <c r="BA16" s="1">
        <v>5139.0519704462467</v>
      </c>
      <c r="BB16" s="1">
        <v>4944.5326684739348</v>
      </c>
      <c r="BC16" s="1">
        <v>5127.9004459402859</v>
      </c>
      <c r="BD16" s="1">
        <v>4887.0915103373</v>
      </c>
      <c r="BE16" s="1">
        <v>5235.7476596939414</v>
      </c>
      <c r="BF16" s="1">
        <v>4817.3158053918996</v>
      </c>
      <c r="BG16" s="1">
        <v>4817.1811736238169</v>
      </c>
      <c r="BH16" s="1">
        <v>4706.9463326332771</v>
      </c>
      <c r="BI16" s="1">
        <v>4263.7939999999999</v>
      </c>
      <c r="BJ16" s="1">
        <v>4142.7132826109273</v>
      </c>
      <c r="BK16" s="1">
        <v>5241.0077191088812</v>
      </c>
      <c r="BL16" s="1">
        <v>4469.0395594819238</v>
      </c>
      <c r="BM16" s="1">
        <v>4773.7240000000002</v>
      </c>
      <c r="BN16" s="1">
        <v>5311.0889150000003</v>
      </c>
      <c r="BO16" s="1">
        <v>4499.1092372540315</v>
      </c>
      <c r="BP16" s="1">
        <v>4735.8627593168012</v>
      </c>
      <c r="BQ16" s="1">
        <v>5261.6640118024034</v>
      </c>
      <c r="BR16" s="1">
        <v>4501.8510846400986</v>
      </c>
      <c r="BS16" s="1">
        <v>5603.1904763599996</v>
      </c>
      <c r="BT16" s="1">
        <v>4956.0609299998005</v>
      </c>
      <c r="BU16" s="1">
        <v>4621.5078509032037</v>
      </c>
      <c r="BV16" s="1">
        <v>4927.0018085967977</v>
      </c>
      <c r="BW16" s="1">
        <v>4331.2396319999043</v>
      </c>
      <c r="BX16" s="1">
        <v>4509</v>
      </c>
      <c r="BY16" s="1">
        <v>4617.9090199999009</v>
      </c>
      <c r="BZ16" s="1">
        <v>4865.7825190001995</v>
      </c>
      <c r="CA16" s="1">
        <v>4775.0635010003034</v>
      </c>
      <c r="CB16" s="1">
        <v>4970.8498149996985</v>
      </c>
      <c r="CC16" s="1">
        <v>6022.9553051444282</v>
      </c>
      <c r="CD16" s="1">
        <v>4424.675256575767</v>
      </c>
      <c r="CE16" s="1">
        <v>5904.7535453314613</v>
      </c>
      <c r="CF16" s="1">
        <v>5006.1908324747956</v>
      </c>
      <c r="CG16" s="1">
        <v>4304.2403798211571</v>
      </c>
      <c r="CH16" s="1">
        <v>4713.7634239580684</v>
      </c>
      <c r="CI16" s="1">
        <v>3817.431597508692</v>
      </c>
      <c r="CJ16" s="1">
        <v>3550.162565933113</v>
      </c>
      <c r="CK16" s="1">
        <v>4690.8355049976526</v>
      </c>
      <c r="CL16" s="1">
        <v>4522.8732366233153</v>
      </c>
      <c r="CM16" s="1">
        <v>5175.0563211922299</v>
      </c>
      <c r="CN16" s="1">
        <v>5120.6790453982103</v>
      </c>
      <c r="CO16" s="1">
        <v>7137.1386637070509</v>
      </c>
      <c r="CP16" s="1">
        <v>3664.229696977377</v>
      </c>
      <c r="CQ16" s="1">
        <v>5203.9874180000015</v>
      </c>
      <c r="CR16" s="1">
        <v>5171.6126630000008</v>
      </c>
      <c r="CS16" s="1">
        <v>4587.9464468000015</v>
      </c>
      <c r="CT16" s="1">
        <v>4358.4280513999902</v>
      </c>
      <c r="CU16" s="1">
        <v>4507.9590566000015</v>
      </c>
      <c r="CV16" s="1">
        <v>3944.4097456</v>
      </c>
      <c r="CW16" s="1">
        <v>4794.3780339999921</v>
      </c>
      <c r="CX16" s="1">
        <v>5478.7711319999989</v>
      </c>
      <c r="CY16" s="1">
        <v>5056.7013529659689</v>
      </c>
      <c r="CZ16" s="1">
        <v>4684.0304020000003</v>
      </c>
      <c r="DA16" s="1">
        <v>4574.9743634000015</v>
      </c>
      <c r="DB16" s="32">
        <v>4907.9168320000026</v>
      </c>
      <c r="DC16" s="1">
        <v>4294.7613340000007</v>
      </c>
      <c r="DD16" s="1">
        <v>5425</v>
      </c>
      <c r="DE16" s="25">
        <v>4342.3042654999999</v>
      </c>
      <c r="DF16" s="25">
        <v>7838.1893529999998</v>
      </c>
      <c r="DG16" s="28">
        <v>3584.4774678138251</v>
      </c>
      <c r="DH16" s="29">
        <v>2815.7678721473571</v>
      </c>
      <c r="DI16" s="29">
        <v>3273</v>
      </c>
      <c r="DJ16" s="32">
        <v>3328.9802770000006</v>
      </c>
      <c r="DK16" s="32">
        <v>3818</v>
      </c>
      <c r="DL16" s="32">
        <v>3232.2150907536552</v>
      </c>
      <c r="DM16" s="32">
        <v>3900</v>
      </c>
      <c r="DN16" s="32">
        <v>3726.6076429999994</v>
      </c>
      <c r="DO16" s="32">
        <v>3472</v>
      </c>
      <c r="DP16" s="32">
        <v>4288</v>
      </c>
      <c r="DQ16" s="32">
        <v>3878</v>
      </c>
      <c r="DR16" s="32">
        <v>3761.3354248929372</v>
      </c>
      <c r="DS16" s="32">
        <v>4213.026667290238</v>
      </c>
      <c r="DT16" s="36">
        <v>3470.908037359342</v>
      </c>
      <c r="DU16" s="36">
        <v>3907</v>
      </c>
      <c r="DV16" s="39">
        <v>3584.6997735420978</v>
      </c>
      <c r="DW16" s="39">
        <v>4262.7839280056787</v>
      </c>
      <c r="DX16" s="39">
        <v>4669.3065600000009</v>
      </c>
      <c r="DY16" s="43">
        <v>4253.1780099999996</v>
      </c>
      <c r="DZ16" s="43">
        <v>4795</v>
      </c>
      <c r="EA16" s="43">
        <v>4702</v>
      </c>
      <c r="EB16" s="47">
        <v>5631.2269999999999</v>
      </c>
      <c r="EC16" s="47">
        <v>4680.3424329943209</v>
      </c>
      <c r="ED16" s="47">
        <v>2248</v>
      </c>
      <c r="EE16" s="47">
        <v>6227.3797999999988</v>
      </c>
      <c r="EF16" s="47">
        <v>4213.5492065943199</v>
      </c>
      <c r="EG16" s="47">
        <v>3537</v>
      </c>
      <c r="EH16" s="47">
        <v>4995.2162359699078</v>
      </c>
      <c r="EI16" s="47">
        <v>4557.9787779443768</v>
      </c>
      <c r="EJ16" s="47">
        <v>4485.9175109027365</v>
      </c>
      <c r="EK16" s="47">
        <v>5176.3678516070004</v>
      </c>
      <c r="EL16" s="47">
        <v>4702.9536699999999</v>
      </c>
    </row>
    <row r="17" spans="2:142">
      <c r="B17" s="18" t="s">
        <v>17</v>
      </c>
      <c r="C17" s="1">
        <v>3351.2649999999999</v>
      </c>
      <c r="D17" s="1">
        <v>3300.96</v>
      </c>
      <c r="E17" s="1">
        <v>4146.5630000000001</v>
      </c>
      <c r="F17" s="1">
        <v>4035.6709999999998</v>
      </c>
      <c r="G17" s="1">
        <v>3826.4110000000001</v>
      </c>
      <c r="H17" s="1">
        <v>4145.2759999999998</v>
      </c>
      <c r="I17" s="1">
        <v>3825.7669999999998</v>
      </c>
      <c r="J17" s="1">
        <v>4090.8319999999999</v>
      </c>
      <c r="K17" s="1">
        <v>4061.79</v>
      </c>
      <c r="L17" s="1">
        <v>4164.4669999999996</v>
      </c>
      <c r="M17" s="1">
        <v>3756.9580000000001</v>
      </c>
      <c r="N17" s="1">
        <v>4046.8159999999998</v>
      </c>
      <c r="O17" s="1">
        <v>3204.96</v>
      </c>
      <c r="P17" s="1">
        <v>3180.7809999999999</v>
      </c>
      <c r="Q17" s="1">
        <v>4638.4390000000003</v>
      </c>
      <c r="R17" s="1">
        <v>4341.2299999999996</v>
      </c>
      <c r="S17" s="1">
        <v>4041.2730000000001</v>
      </c>
      <c r="T17" s="1">
        <v>4137.3249999999998</v>
      </c>
      <c r="U17" s="1">
        <v>1900.3715830000001</v>
      </c>
      <c r="V17" s="1">
        <v>2762.5216784262402</v>
      </c>
      <c r="W17" s="1">
        <v>2545.23087457376</v>
      </c>
      <c r="X17" s="1">
        <v>2222.1446667220598</v>
      </c>
      <c r="Y17" s="1">
        <v>2525.6180001406701</v>
      </c>
      <c r="Z17" s="1">
        <v>2478.7687441562198</v>
      </c>
      <c r="AA17" s="1">
        <v>1849.5527787299106</v>
      </c>
      <c r="AB17" s="1">
        <v>2228.2582634299997</v>
      </c>
      <c r="AC17" s="1">
        <v>2890.0482196628964</v>
      </c>
      <c r="AD17" s="1">
        <v>1960.3033339988799</v>
      </c>
      <c r="AE17" s="1">
        <v>2363.9415693382225</v>
      </c>
      <c r="AF17" s="1">
        <v>2492.1671566617765</v>
      </c>
      <c r="AG17" s="1">
        <v>2226.4040028491468</v>
      </c>
      <c r="AH17" s="1">
        <v>2976.7269543235543</v>
      </c>
      <c r="AI17" s="1">
        <v>2651.6717283382222</v>
      </c>
      <c r="AJ17" s="1">
        <v>2543.629094673679</v>
      </c>
      <c r="AK17" s="1">
        <v>2566.307955326321</v>
      </c>
      <c r="AL17" s="1">
        <v>2612.6478373382229</v>
      </c>
      <c r="AM17" s="1">
        <v>2311.3056353945544</v>
      </c>
      <c r="AN17" s="1">
        <v>2267.7087556666665</v>
      </c>
      <c r="AO17" s="1">
        <v>2855.9491809999995</v>
      </c>
      <c r="AP17" s="1">
        <v>2855.5001601387785</v>
      </c>
      <c r="AQ17" s="1">
        <v>2808.3437280085832</v>
      </c>
      <c r="AR17" s="1">
        <v>2709.8401089515978</v>
      </c>
      <c r="AS17" s="1">
        <v>2722.8604008099401</v>
      </c>
      <c r="AT17" s="1">
        <v>2799.6105843474511</v>
      </c>
      <c r="AU17" s="1">
        <v>2260.6001941136969</v>
      </c>
      <c r="AV17" s="1">
        <v>2579.9888872894689</v>
      </c>
      <c r="AW17" s="1">
        <v>2270.1624229999966</v>
      </c>
      <c r="AX17" s="1">
        <v>2192</v>
      </c>
      <c r="AY17" s="1">
        <v>2246.1666360000004</v>
      </c>
      <c r="AZ17" s="1">
        <v>1983.2910371999997</v>
      </c>
      <c r="BA17" s="1">
        <v>2027.6688717999998</v>
      </c>
      <c r="BB17" s="1">
        <v>2316.1291089999954</v>
      </c>
      <c r="BC17" s="1">
        <v>2461.4444515999944</v>
      </c>
      <c r="BD17" s="1">
        <v>2123.3683433999972</v>
      </c>
      <c r="BE17" s="1">
        <v>2565.339539018632</v>
      </c>
      <c r="BF17" s="1">
        <v>2317.5280951999966</v>
      </c>
      <c r="BG17" s="1">
        <v>2079.1623032453604</v>
      </c>
      <c r="BH17" s="1">
        <v>2445.5025489999966</v>
      </c>
      <c r="BI17" s="1">
        <v>2261.1080000000002</v>
      </c>
      <c r="BJ17" s="1">
        <v>1575.7131209460924</v>
      </c>
      <c r="BK17" s="1">
        <v>2322.6335861249972</v>
      </c>
      <c r="BL17" s="1">
        <v>2461.1407409999965</v>
      </c>
      <c r="BM17" s="1">
        <v>2087.6170000000002</v>
      </c>
      <c r="BN17" s="1">
        <v>2036.9730899999972</v>
      </c>
      <c r="BO17" s="1">
        <v>1692.1461235648721</v>
      </c>
      <c r="BP17" s="1">
        <v>2427.7202500510716</v>
      </c>
      <c r="BQ17" s="1">
        <v>2798.6065996470156</v>
      </c>
      <c r="BR17" s="1">
        <v>2468.7578009520994</v>
      </c>
      <c r="BS17" s="1">
        <v>2297.0007570480025</v>
      </c>
      <c r="BT17" s="1">
        <v>2245.4935700002998</v>
      </c>
      <c r="BU17" s="1">
        <v>2138.5969038000003</v>
      </c>
      <c r="BV17" s="1">
        <v>2836.6580332913095</v>
      </c>
      <c r="BW17" s="1">
        <v>2499.2382340092722</v>
      </c>
      <c r="BX17" s="1">
        <v>2701</v>
      </c>
      <c r="BY17" s="1">
        <v>2728.9808169997982</v>
      </c>
      <c r="BZ17" s="1">
        <v>2460.035079000379</v>
      </c>
      <c r="CA17" s="1">
        <v>2383.7015839996789</v>
      </c>
      <c r="CB17" s="1">
        <v>2764.3741720006742</v>
      </c>
      <c r="CC17" s="1">
        <v>2762.7021899999759</v>
      </c>
      <c r="CD17" s="1">
        <v>2748.1801980000755</v>
      </c>
      <c r="CE17" s="1">
        <v>2694.7654109996001</v>
      </c>
      <c r="CF17" s="1">
        <v>2627.3179250012813</v>
      </c>
      <c r="CG17" s="1">
        <v>2549.1857279999826</v>
      </c>
      <c r="CH17" s="1">
        <v>2830.0549986800011</v>
      </c>
      <c r="CI17" s="1">
        <v>2346.3695299999854</v>
      </c>
      <c r="CJ17" s="1">
        <v>2659.4192466799741</v>
      </c>
      <c r="CK17" s="1">
        <v>3002.8568653199859</v>
      </c>
      <c r="CL17" s="1">
        <v>2882.8356920000001</v>
      </c>
      <c r="CM17" s="1">
        <v>2924.5043289999999</v>
      </c>
      <c r="CN17" s="1">
        <v>2757.8397797200005</v>
      </c>
      <c r="CO17" s="1">
        <v>2974.0157875999994</v>
      </c>
      <c r="CP17" s="1">
        <v>2904.1180176800012</v>
      </c>
      <c r="CQ17" s="1">
        <v>2669.9429543200004</v>
      </c>
      <c r="CR17" s="1">
        <v>2463.7111563199992</v>
      </c>
      <c r="CS17" s="1">
        <v>2822.9215186800002</v>
      </c>
      <c r="CT17" s="1">
        <v>2668.6657479999708</v>
      </c>
      <c r="CU17" s="1">
        <v>2493.1191079999985</v>
      </c>
      <c r="CV17" s="1">
        <v>2393.4675239999992</v>
      </c>
      <c r="CW17" s="1">
        <v>3067.3389629999738</v>
      </c>
      <c r="CX17" s="1">
        <v>2426.7726303199993</v>
      </c>
      <c r="CY17" s="1">
        <v>2548.9834489813325</v>
      </c>
      <c r="CZ17" s="1">
        <v>2787.8945060000005</v>
      </c>
      <c r="DA17" s="1">
        <v>2944.4059370000004</v>
      </c>
      <c r="DB17" s="32">
        <v>2676.1421069999992</v>
      </c>
      <c r="DC17" s="1">
        <v>2293.3819519999956</v>
      </c>
      <c r="DD17" s="1">
        <v>2422</v>
      </c>
      <c r="DE17" s="25">
        <v>2436.6039060279991</v>
      </c>
      <c r="DF17" s="25">
        <v>2149.9097549440003</v>
      </c>
      <c r="DG17" s="28">
        <v>2342.8570138722212</v>
      </c>
      <c r="DH17" s="29">
        <v>1840.7384595126248</v>
      </c>
      <c r="DI17" s="29">
        <v>3556</v>
      </c>
      <c r="DJ17" s="32">
        <v>2151.8912107441374</v>
      </c>
      <c r="DK17" s="32">
        <v>2306</v>
      </c>
      <c r="DL17" s="32">
        <v>1824.8898926011436</v>
      </c>
      <c r="DM17" s="32">
        <v>2582</v>
      </c>
      <c r="DN17" s="32">
        <v>2312.8997155010616</v>
      </c>
      <c r="DO17" s="32">
        <v>2194</v>
      </c>
      <c r="DP17" s="32">
        <v>2348</v>
      </c>
      <c r="DQ17" s="32">
        <v>2057</v>
      </c>
      <c r="DR17" s="32">
        <v>1860.5823727019847</v>
      </c>
      <c r="DS17" s="32">
        <v>2229.9205195922545</v>
      </c>
      <c r="DT17" s="36">
        <v>2088.7974106140214</v>
      </c>
      <c r="DU17" s="36">
        <v>2488</v>
      </c>
      <c r="DV17" s="39">
        <v>2522.1445255451199</v>
      </c>
      <c r="DW17" s="39">
        <v>2427.9867577175892</v>
      </c>
      <c r="DX17" s="39">
        <v>2815.8740491674375</v>
      </c>
      <c r="DY17" s="43">
        <v>2058.9725624081102</v>
      </c>
      <c r="DZ17" s="43">
        <v>2199</v>
      </c>
      <c r="EA17" s="43">
        <v>2756</v>
      </c>
      <c r="EB17" s="47">
        <v>2987.761</v>
      </c>
      <c r="EC17" s="47">
        <v>1473.6430210000005</v>
      </c>
      <c r="ED17" s="47">
        <v>2900</v>
      </c>
      <c r="EE17" s="47">
        <v>1356.9323899999997</v>
      </c>
      <c r="EF17" s="47">
        <v>2094.9065169999999</v>
      </c>
      <c r="EG17" s="47">
        <v>2548</v>
      </c>
      <c r="EH17" s="47">
        <v>2244.5628372482711</v>
      </c>
      <c r="EI17" s="47">
        <v>2005.6732382644107</v>
      </c>
      <c r="EJ17" s="47">
        <v>2317.4794882240008</v>
      </c>
      <c r="EK17" s="47">
        <v>2365.9430617759999</v>
      </c>
      <c r="EL17" s="47">
        <v>2407.8785600000006</v>
      </c>
    </row>
    <row r="18" spans="2:142" ht="15" customHeight="1">
      <c r="B18" s="11" t="s">
        <v>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</row>
    <row r="19" spans="2:142">
      <c r="B19" s="18" t="s">
        <v>8</v>
      </c>
      <c r="C19" s="1">
        <v>3659.5639999999999</v>
      </c>
      <c r="D19" s="1">
        <v>2976.9270000000001</v>
      </c>
      <c r="E19" s="1">
        <v>3568.8090000000002</v>
      </c>
      <c r="F19" s="1">
        <v>3300.973</v>
      </c>
      <c r="G19" s="1">
        <v>3299.1289999999999</v>
      </c>
      <c r="H19" s="1">
        <v>3640.5320000000002</v>
      </c>
      <c r="I19" s="1">
        <v>3829.558</v>
      </c>
      <c r="J19" s="1">
        <v>4072.931</v>
      </c>
      <c r="K19" s="1">
        <v>3985.92</v>
      </c>
      <c r="L19" s="1">
        <v>3986.6480000000001</v>
      </c>
      <c r="M19" s="1">
        <v>3851.98</v>
      </c>
      <c r="N19" s="1">
        <v>3940.27</v>
      </c>
      <c r="O19" s="1">
        <v>3784.643</v>
      </c>
      <c r="P19" s="1">
        <v>3924.8409999999999</v>
      </c>
      <c r="Q19" s="1">
        <v>3562.5830000000001</v>
      </c>
      <c r="R19" s="1">
        <v>3152.7249999999999</v>
      </c>
      <c r="S19" s="1">
        <v>3195.9589999999998</v>
      </c>
      <c r="T19" s="1">
        <v>3277.7449999999999</v>
      </c>
      <c r="U19" s="1">
        <v>5495.6522426293895</v>
      </c>
      <c r="V19" s="1">
        <v>5284.2032817255504</v>
      </c>
      <c r="W19" s="1">
        <v>5632</v>
      </c>
      <c r="X19" s="1">
        <v>5719.7027035166602</v>
      </c>
      <c r="Y19" s="1">
        <v>4956.8829918701704</v>
      </c>
      <c r="Z19" s="1">
        <v>5466.4971724060697</v>
      </c>
      <c r="AA19" s="1">
        <v>4429.293978095081</v>
      </c>
      <c r="AB19" s="1">
        <v>4044.9036814706024</v>
      </c>
      <c r="AC19" s="1">
        <v>4863.5769803602952</v>
      </c>
      <c r="AD19" s="1">
        <v>4640.7160935006741</v>
      </c>
      <c r="AE19" s="1">
        <v>4835.6449213522819</v>
      </c>
      <c r="AF19" s="1">
        <v>5440.7046408718616</v>
      </c>
      <c r="AG19" s="1">
        <v>5579.3077706969625</v>
      </c>
      <c r="AH19" s="1">
        <v>5525.3530134188222</v>
      </c>
      <c r="AI19" s="1">
        <v>5441.4929136047967</v>
      </c>
      <c r="AJ19" s="1">
        <v>6186.6621510340256</v>
      </c>
      <c r="AK19" s="1">
        <v>5433.5684276114353</v>
      </c>
      <c r="AL19" s="1">
        <v>5097.1754905167018</v>
      </c>
      <c r="AM19" s="1">
        <v>5161.4535311319951</v>
      </c>
      <c r="AN19" s="1">
        <v>4589.5289540735585</v>
      </c>
      <c r="AO19" s="1">
        <v>5658.299103875218</v>
      </c>
      <c r="AP19" s="1">
        <v>4083.7011184109779</v>
      </c>
      <c r="AQ19" s="1">
        <v>5734.6971289866678</v>
      </c>
      <c r="AR19" s="1">
        <v>5018.1879432753412</v>
      </c>
      <c r="AS19" s="1">
        <v>5481.4716857003032</v>
      </c>
      <c r="AT19" s="1">
        <v>5254.6250136153849</v>
      </c>
      <c r="AU19" s="1">
        <v>5347.7725340368843</v>
      </c>
      <c r="AV19" s="1">
        <v>5900.6951472263845</v>
      </c>
      <c r="AW19" s="1">
        <v>5201.3493198652986</v>
      </c>
      <c r="AX19" s="1">
        <v>5379.6643942459932</v>
      </c>
      <c r="AY19" s="1">
        <v>5131.7052311325479</v>
      </c>
      <c r="AZ19" s="1">
        <v>4308.231490005619</v>
      </c>
      <c r="BA19" s="1">
        <v>4253.4740881020125</v>
      </c>
      <c r="BB19" s="1">
        <v>4688.7561250862063</v>
      </c>
      <c r="BC19" s="1">
        <v>4974.90435960381</v>
      </c>
      <c r="BD19" s="1">
        <v>4638.7781052223609</v>
      </c>
      <c r="BE19" s="1">
        <v>5125.3732504943482</v>
      </c>
      <c r="BF19" s="1">
        <v>5765.4552229358105</v>
      </c>
      <c r="BG19" s="1">
        <v>5505.4636737398987</v>
      </c>
      <c r="BH19" s="1">
        <v>4997.4857144451198</v>
      </c>
      <c r="BI19" s="1">
        <v>5007.0195255355238</v>
      </c>
      <c r="BJ19" s="1">
        <v>4973.6514730610415</v>
      </c>
      <c r="BK19" s="1">
        <v>4622.0728027406076</v>
      </c>
      <c r="BL19" s="1">
        <v>4935.8076627058235</v>
      </c>
      <c r="BM19" s="1">
        <v>3872.5859999999998</v>
      </c>
      <c r="BN19" s="1">
        <v>4399.6524982000001</v>
      </c>
      <c r="BO19" s="1">
        <v>4572.803052418828</v>
      </c>
      <c r="BP19" s="1">
        <v>4997.6883540838562</v>
      </c>
      <c r="BQ19" s="1">
        <v>5771.8300568791428</v>
      </c>
      <c r="BR19" s="1">
        <v>5224.4239378506181</v>
      </c>
      <c r="BS19" s="1">
        <v>4750.2724400533889</v>
      </c>
      <c r="BT19" s="1">
        <v>5785.4088360241094</v>
      </c>
      <c r="BU19" s="1">
        <v>5721.6145482222701</v>
      </c>
      <c r="BV19" s="1">
        <v>6366.6054970246496</v>
      </c>
      <c r="BW19" s="1">
        <v>4294.3624868189891</v>
      </c>
      <c r="BX19" s="1">
        <v>4442</v>
      </c>
      <c r="BY19" s="1">
        <v>4985.0856479726735</v>
      </c>
      <c r="BZ19" s="1">
        <v>4275.093293703213</v>
      </c>
      <c r="CA19" s="1">
        <v>4956.4812349581944</v>
      </c>
      <c r="CB19" s="1">
        <v>4994.383702732699</v>
      </c>
      <c r="CC19" s="1">
        <v>5056.2920898375969</v>
      </c>
      <c r="CD19" s="1">
        <v>5703.8538202975606</v>
      </c>
      <c r="CE19" s="1">
        <v>5737.569187191335</v>
      </c>
      <c r="CF19" s="1">
        <v>5755.4876646306129</v>
      </c>
      <c r="CG19" s="1">
        <v>5398.937584864414</v>
      </c>
      <c r="CH19" s="1">
        <v>5427.2147568233941</v>
      </c>
      <c r="CI19" s="1">
        <v>4474.0433097502737</v>
      </c>
      <c r="CJ19" s="1">
        <v>4715.1635947787991</v>
      </c>
      <c r="CK19" s="1">
        <v>5607.8897925352967</v>
      </c>
      <c r="CL19" s="1">
        <v>4900.0111553632787</v>
      </c>
      <c r="CM19" s="1">
        <v>4636.1207909080058</v>
      </c>
      <c r="CN19" s="1">
        <v>5576.2874098000593</v>
      </c>
      <c r="CO19" s="1">
        <v>5852.524388321267</v>
      </c>
      <c r="CP19" s="1">
        <v>5677.1908373858214</v>
      </c>
      <c r="CQ19" s="1">
        <v>5904.4414478397011</v>
      </c>
      <c r="CR19" s="1">
        <v>6865.2558125014266</v>
      </c>
      <c r="CS19" s="1">
        <v>5645.2241290856273</v>
      </c>
      <c r="CT19" s="1">
        <v>5651.3692679317874</v>
      </c>
      <c r="CU19" s="1">
        <v>4486.2225420557133</v>
      </c>
      <c r="CV19" s="1">
        <v>4651.9173053164477</v>
      </c>
      <c r="CW19" s="1">
        <v>4858.5900716884007</v>
      </c>
      <c r="CX19" s="1">
        <v>4633.4157938196622</v>
      </c>
      <c r="CY19" s="1">
        <v>5383.4514472210712</v>
      </c>
      <c r="CZ19" s="1">
        <v>5526.8861871978588</v>
      </c>
      <c r="DA19" s="1">
        <v>5605.9151139991081</v>
      </c>
      <c r="DB19" s="32">
        <v>6051.7438696095078</v>
      </c>
      <c r="DC19" s="1">
        <v>5440.8576033051986</v>
      </c>
      <c r="DD19" s="1">
        <v>6284</v>
      </c>
      <c r="DE19" s="25">
        <v>5506.695330785129</v>
      </c>
      <c r="DF19" s="25">
        <v>4952.7905465711992</v>
      </c>
      <c r="DG19" s="28">
        <v>4666.8359530805628</v>
      </c>
      <c r="DH19" s="29">
        <v>3866.698048523629</v>
      </c>
      <c r="DI19" s="29">
        <v>4769</v>
      </c>
      <c r="DJ19" s="32">
        <v>4358.899352270977</v>
      </c>
      <c r="DK19" s="32">
        <v>4628</v>
      </c>
      <c r="DL19" s="32">
        <v>5146.0595547143739</v>
      </c>
      <c r="DM19" s="32">
        <v>5317</v>
      </c>
      <c r="DN19" s="32">
        <v>5353.3879042607805</v>
      </c>
      <c r="DO19" s="32">
        <v>5859</v>
      </c>
      <c r="DP19" s="32">
        <v>6709</v>
      </c>
      <c r="DQ19" s="32">
        <v>5061</v>
      </c>
      <c r="DR19" s="32">
        <v>5363.2018374136187</v>
      </c>
      <c r="DS19" s="32">
        <v>5793.0849455400949</v>
      </c>
      <c r="DT19" s="36">
        <v>3862.649268298424</v>
      </c>
      <c r="DU19" s="36">
        <v>5582</v>
      </c>
      <c r="DV19" s="39">
        <v>5632.4334239737373</v>
      </c>
      <c r="DW19" s="39">
        <v>4506.5179819889063</v>
      </c>
      <c r="DX19" s="39">
        <v>7117.5965023534472</v>
      </c>
      <c r="DY19" s="43">
        <v>5757.7342549999994</v>
      </c>
      <c r="DZ19" s="43">
        <v>6123</v>
      </c>
      <c r="EA19" s="43">
        <v>6164</v>
      </c>
      <c r="EB19" s="47">
        <v>7139.2401532604117</v>
      </c>
      <c r="EC19" s="47">
        <v>5894.4083195720759</v>
      </c>
      <c r="ED19" s="47">
        <v>7175</v>
      </c>
      <c r="EE19" s="47">
        <v>4415.3375299999989</v>
      </c>
      <c r="EF19" s="47">
        <v>4489.4853116549048</v>
      </c>
      <c r="EG19" s="47">
        <v>5449</v>
      </c>
      <c r="EH19" s="47">
        <v>5167.7293791863976</v>
      </c>
      <c r="EI19" s="47">
        <v>5522.0932485683497</v>
      </c>
      <c r="EJ19" s="47">
        <v>6512.3224674390003</v>
      </c>
      <c r="EK19" s="47">
        <v>6400.9321525610003</v>
      </c>
      <c r="EL19" s="47">
        <v>6750.6342500000001</v>
      </c>
    </row>
    <row r="20" spans="2:142">
      <c r="B20" s="18" t="s">
        <v>0</v>
      </c>
      <c r="C20" s="1">
        <v>5875.5010000000002</v>
      </c>
      <c r="D20" s="1">
        <v>6556.47</v>
      </c>
      <c r="E20" s="1">
        <v>7616.3069999999998</v>
      </c>
      <c r="F20" s="1">
        <v>8150.1289999999999</v>
      </c>
      <c r="G20" s="1">
        <v>7876.1289999999999</v>
      </c>
      <c r="H20" s="1">
        <v>8517.8459999999995</v>
      </c>
      <c r="I20" s="1">
        <v>8816.4879999999994</v>
      </c>
      <c r="J20" s="1">
        <v>7730.6289999999999</v>
      </c>
      <c r="K20" s="1">
        <v>7993.2280000000001</v>
      </c>
      <c r="L20" s="1">
        <v>7811.1959999999999</v>
      </c>
      <c r="M20" s="1">
        <v>7026.5429999999997</v>
      </c>
      <c r="N20" s="1">
        <v>6890.82</v>
      </c>
      <c r="O20" s="1">
        <v>5800.1620000000003</v>
      </c>
      <c r="P20" s="1">
        <v>7511.2280000000001</v>
      </c>
      <c r="Q20" s="1">
        <v>8061.308</v>
      </c>
      <c r="R20" s="1">
        <v>8875.8629999999994</v>
      </c>
      <c r="S20" s="1">
        <v>9403.0079999999998</v>
      </c>
      <c r="T20" s="1">
        <v>8724.85</v>
      </c>
      <c r="U20" s="1">
        <v>10223.318503898699</v>
      </c>
      <c r="V20" s="1">
        <v>9527.4951850357702</v>
      </c>
      <c r="W20" s="1">
        <v>8696</v>
      </c>
      <c r="X20" s="1">
        <v>8480.3420499470994</v>
      </c>
      <c r="Y20" s="1">
        <v>6987.6184285387999</v>
      </c>
      <c r="Z20" s="1">
        <v>6858.9615305771003</v>
      </c>
      <c r="AA20" s="1">
        <v>5313.0586681919222</v>
      </c>
      <c r="AB20" s="1">
        <v>5915.2580727134218</v>
      </c>
      <c r="AC20" s="1">
        <v>8414.7812833273001</v>
      </c>
      <c r="AD20" s="1">
        <v>8309.4532860441377</v>
      </c>
      <c r="AE20" s="1">
        <v>8328.0733700000019</v>
      </c>
      <c r="AF20" s="1">
        <v>8231.4995452774765</v>
      </c>
      <c r="AG20" s="1">
        <v>9717.4881409364043</v>
      </c>
      <c r="AH20" s="1">
        <v>9127.4820484836291</v>
      </c>
      <c r="AI20" s="1">
        <v>7787.1618720000015</v>
      </c>
      <c r="AJ20" s="1">
        <v>8177.8834373661184</v>
      </c>
      <c r="AK20" s="1">
        <v>7015.7431559999977</v>
      </c>
      <c r="AL20" s="1">
        <v>6254.8286717918745</v>
      </c>
      <c r="AM20" s="1">
        <v>5668.0311194007836</v>
      </c>
      <c r="AN20" s="1">
        <v>5910.0648889924178</v>
      </c>
      <c r="AO20" s="1">
        <v>9503.7283421759712</v>
      </c>
      <c r="AP20" s="1">
        <v>9210.0008846354067</v>
      </c>
      <c r="AQ20" s="1">
        <v>10407.913554685045</v>
      </c>
      <c r="AR20" s="1">
        <v>9235.0763955834846</v>
      </c>
      <c r="AS20" s="1">
        <v>9144.7887201730755</v>
      </c>
      <c r="AT20" s="1">
        <v>9588.2474956142196</v>
      </c>
      <c r="AU20" s="1">
        <v>8491.8016438416125</v>
      </c>
      <c r="AV20" s="1">
        <v>8699.5059100611907</v>
      </c>
      <c r="AW20" s="1">
        <v>8118.070186081989</v>
      </c>
      <c r="AX20" s="1">
        <v>6598.180635629531</v>
      </c>
      <c r="AY20" s="1">
        <v>5689.4311852073688</v>
      </c>
      <c r="AZ20" s="1">
        <v>7059.7308083598309</v>
      </c>
      <c r="BA20" s="1">
        <v>8168.5368834028386</v>
      </c>
      <c r="BB20" s="1">
        <v>8663.6128986279928</v>
      </c>
      <c r="BC20" s="1">
        <v>10303.666148360033</v>
      </c>
      <c r="BD20" s="1">
        <v>8252.0798327408029</v>
      </c>
      <c r="BE20" s="1">
        <v>10229.623102099085</v>
      </c>
      <c r="BF20" s="1">
        <v>9383.8360604410027</v>
      </c>
      <c r="BG20" s="1">
        <v>8208.9578669627044</v>
      </c>
      <c r="BH20" s="1">
        <v>7900.6836747326406</v>
      </c>
      <c r="BI20" s="1">
        <v>7174.6184593286816</v>
      </c>
      <c r="BJ20" s="1">
        <v>5827.8201535365279</v>
      </c>
      <c r="BK20" s="1">
        <v>7200.218727279268</v>
      </c>
      <c r="BL20" s="1">
        <v>8372.5598645601967</v>
      </c>
      <c r="BM20" s="1">
        <v>7841.4449999999997</v>
      </c>
      <c r="BN20" s="1">
        <v>8022.7527609999997</v>
      </c>
      <c r="BO20" s="1">
        <v>10956.998681338999</v>
      </c>
      <c r="BP20" s="1">
        <v>11027.405177719422</v>
      </c>
      <c r="BQ20" s="1">
        <v>10554.734796656867</v>
      </c>
      <c r="BR20" s="1">
        <v>9129.5308325890983</v>
      </c>
      <c r="BS20" s="1">
        <v>8726.2440676959905</v>
      </c>
      <c r="BT20" s="1">
        <v>9512.2010925259037</v>
      </c>
      <c r="BU20" s="1">
        <v>7941.1798128088994</v>
      </c>
      <c r="BV20" s="1">
        <v>7269.2389543181844</v>
      </c>
      <c r="BW20" s="1">
        <v>6656.3867112051666</v>
      </c>
      <c r="BX20" s="1">
        <v>6983</v>
      </c>
      <c r="BY20" s="1">
        <v>8953.2497012648037</v>
      </c>
      <c r="BZ20" s="1">
        <v>7899.5738143759363</v>
      </c>
      <c r="CA20" s="1">
        <v>8012.5151627665728</v>
      </c>
      <c r="CB20" s="1">
        <v>8916.5082491430421</v>
      </c>
      <c r="CC20" s="1">
        <v>9602.7803669824752</v>
      </c>
      <c r="CD20" s="1">
        <v>10200.17856392306</v>
      </c>
      <c r="CE20" s="1">
        <v>8859.4668347909756</v>
      </c>
      <c r="CF20" s="1">
        <v>7358.9659437005002</v>
      </c>
      <c r="CG20" s="1">
        <v>6577.0262306775348</v>
      </c>
      <c r="CH20" s="1">
        <v>6708.7288909652316</v>
      </c>
      <c r="CI20" s="1">
        <v>7237.2174142073281</v>
      </c>
      <c r="CJ20" s="1">
        <v>5057.7670602995804</v>
      </c>
      <c r="CK20" s="1">
        <v>9786.5845341475451</v>
      </c>
      <c r="CL20" s="1">
        <v>10031.995776426873</v>
      </c>
      <c r="CM20" s="1">
        <v>10405.139106701416</v>
      </c>
      <c r="CN20" s="1">
        <v>8622.8679360006263</v>
      </c>
      <c r="CO20" s="1">
        <v>10246.886835457113</v>
      </c>
      <c r="CP20" s="1">
        <v>9615.8569521280006</v>
      </c>
      <c r="CQ20" s="1">
        <v>7675.6216010739918</v>
      </c>
      <c r="CR20" s="1">
        <v>7212.4813779500009</v>
      </c>
      <c r="CS20" s="1">
        <v>7805.5820188739981</v>
      </c>
      <c r="CT20" s="1">
        <v>7928.3936412499997</v>
      </c>
      <c r="CU20" s="1">
        <v>5421.0240454979985</v>
      </c>
      <c r="CV20" s="1">
        <v>7557.7448043559934</v>
      </c>
      <c r="CW20" s="1">
        <v>9354.0322690219837</v>
      </c>
      <c r="CX20" s="1">
        <v>9298.5784304199933</v>
      </c>
      <c r="CY20" s="1">
        <v>10579.897026897297</v>
      </c>
      <c r="CZ20" s="1">
        <v>9890.2704065426733</v>
      </c>
      <c r="DA20" s="1">
        <v>9975.8543389914867</v>
      </c>
      <c r="DB20" s="32">
        <v>10189.61809078849</v>
      </c>
      <c r="DC20" s="1">
        <v>7892.2020648679945</v>
      </c>
      <c r="DD20" s="1">
        <v>7919</v>
      </c>
      <c r="DE20" s="25">
        <v>8778.387339476003</v>
      </c>
      <c r="DF20" s="25">
        <v>7832.7722128080022</v>
      </c>
      <c r="DG20" s="28">
        <v>5687.6438666823042</v>
      </c>
      <c r="DH20" s="29">
        <v>6446.6223868410279</v>
      </c>
      <c r="DI20" s="29">
        <v>8949</v>
      </c>
      <c r="DJ20" s="32">
        <v>8971.6003258739966</v>
      </c>
      <c r="DK20" s="32">
        <v>8721</v>
      </c>
      <c r="DL20" s="32">
        <v>8108.8429761416637</v>
      </c>
      <c r="DM20" s="32">
        <v>9490</v>
      </c>
      <c r="DN20" s="32">
        <v>9745.6297715259934</v>
      </c>
      <c r="DO20" s="32">
        <v>8059</v>
      </c>
      <c r="DP20" s="32">
        <v>8662</v>
      </c>
      <c r="DQ20" s="32">
        <v>6531</v>
      </c>
      <c r="DR20" s="32">
        <v>7172.7569110575687</v>
      </c>
      <c r="DS20" s="32">
        <v>7409.1952621058335</v>
      </c>
      <c r="DT20" s="36">
        <v>7972.2480003196197</v>
      </c>
      <c r="DU20" s="36">
        <v>8679</v>
      </c>
      <c r="DV20" s="39">
        <v>9437.7326292723192</v>
      </c>
      <c r="DW20" s="39">
        <v>9348.3820870407853</v>
      </c>
      <c r="DX20" s="39">
        <v>8003.258832291107</v>
      </c>
      <c r="DY20" s="43">
        <v>10259.229818659176</v>
      </c>
      <c r="DZ20" s="43">
        <v>8755</v>
      </c>
      <c r="EA20" s="43">
        <v>7908</v>
      </c>
      <c r="EB20" s="47">
        <v>8791.1926300000014</v>
      </c>
      <c r="EC20" s="47">
        <v>6826.6997211884336</v>
      </c>
      <c r="ED20" s="47">
        <v>7577</v>
      </c>
      <c r="EE20" s="47">
        <v>6155.7425300000014</v>
      </c>
      <c r="EF20" s="47">
        <v>6464.5114280889966</v>
      </c>
      <c r="EG20" s="47">
        <v>10219</v>
      </c>
      <c r="EH20" s="47">
        <v>10514.139956118093</v>
      </c>
      <c r="EI20" s="47">
        <v>9695.3081860318798</v>
      </c>
      <c r="EJ20" s="47">
        <v>9086.0252634120025</v>
      </c>
      <c r="EK20" s="47">
        <v>10347.602551588003</v>
      </c>
      <c r="EL20" s="47">
        <v>10018.38989</v>
      </c>
    </row>
    <row r="21" spans="2:142">
      <c r="B21" s="18" t="s">
        <v>19</v>
      </c>
      <c r="C21" s="1">
        <v>5778.5820000000003</v>
      </c>
      <c r="D21" s="1">
        <v>5261.6019999999999</v>
      </c>
      <c r="E21" s="1">
        <v>5293.0410000000002</v>
      </c>
      <c r="F21" s="1">
        <v>4894.2659999999996</v>
      </c>
      <c r="G21" s="1">
        <v>4167.9480000000003</v>
      </c>
      <c r="H21" s="1">
        <v>3265.2179999999998</v>
      </c>
      <c r="I21" s="1">
        <v>3851.8229999999999</v>
      </c>
      <c r="J21" s="1">
        <v>4933.5389999999998</v>
      </c>
      <c r="K21" s="1">
        <v>5678.6570000000002</v>
      </c>
      <c r="L21" s="1">
        <v>5059.9409999999998</v>
      </c>
      <c r="M21" s="1">
        <v>6100.6059999999998</v>
      </c>
      <c r="N21" s="1">
        <v>6035.8620000000001</v>
      </c>
      <c r="O21" s="1">
        <v>5616.23</v>
      </c>
      <c r="P21" s="1">
        <v>5189.134</v>
      </c>
      <c r="Q21" s="1">
        <v>5582.5590000000002</v>
      </c>
      <c r="R21" s="1">
        <v>3805.4949999999999</v>
      </c>
      <c r="S21" s="1">
        <v>2505.6759999999999</v>
      </c>
      <c r="T21" s="1">
        <v>2330.3719999999998</v>
      </c>
      <c r="U21" s="1">
        <v>4566.5733479999999</v>
      </c>
      <c r="V21" s="1">
        <v>3130.0104919999999</v>
      </c>
      <c r="W21" s="1">
        <v>4421.1408000000001</v>
      </c>
      <c r="X21" s="1">
        <v>3984.5450770000002</v>
      </c>
      <c r="Y21" s="1">
        <v>5758.266584</v>
      </c>
      <c r="Z21" s="1">
        <v>4968.2779399999999</v>
      </c>
      <c r="AA21" s="1">
        <v>6782.9060899999995</v>
      </c>
      <c r="AB21" s="1">
        <v>4605.0534860000007</v>
      </c>
      <c r="AC21" s="1">
        <v>4071.5614399999999</v>
      </c>
      <c r="AD21" s="1">
        <v>3620.0314260000005</v>
      </c>
      <c r="AE21" s="1">
        <v>2982.1885980000002</v>
      </c>
      <c r="AF21" s="1">
        <v>3675.0971880000002</v>
      </c>
      <c r="AG21" s="1">
        <v>4014.835568</v>
      </c>
      <c r="AH21" s="1">
        <v>3191.6889919999994</v>
      </c>
      <c r="AI21" s="1">
        <v>3077.3618650000003</v>
      </c>
      <c r="AJ21" s="1">
        <v>5527.0530290000006</v>
      </c>
      <c r="AK21" s="1">
        <v>5764.9318519999997</v>
      </c>
      <c r="AL21" s="1">
        <v>7250.7338087911512</v>
      </c>
      <c r="AM21" s="1">
        <v>4921.7143039318489</v>
      </c>
      <c r="AN21" s="1">
        <v>6526.0961756179258</v>
      </c>
      <c r="AO21" s="1">
        <v>5472.0239336169225</v>
      </c>
      <c r="AP21" s="1">
        <v>4685.6748585753385</v>
      </c>
      <c r="AQ21" s="1">
        <v>3308.7564422787941</v>
      </c>
      <c r="AR21" s="1">
        <v>2094.1796462774937</v>
      </c>
      <c r="AS21" s="1">
        <v>2314.1168615323313</v>
      </c>
      <c r="AT21" s="1">
        <v>2348.2829736415279</v>
      </c>
      <c r="AU21" s="1">
        <v>3052.5704748335352</v>
      </c>
      <c r="AV21" s="1">
        <v>3426.3605680009691</v>
      </c>
      <c r="AW21" s="1">
        <v>3722.0113743209299</v>
      </c>
      <c r="AX21" s="1">
        <v>4288.4988995727917</v>
      </c>
      <c r="AY21" s="1">
        <v>3967.7983992417371</v>
      </c>
      <c r="AZ21" s="1">
        <v>3212.281232191624</v>
      </c>
      <c r="BA21" s="1">
        <v>3458.3226028318409</v>
      </c>
      <c r="BB21" s="1">
        <v>2509.786315616795</v>
      </c>
      <c r="BC21" s="1">
        <v>1901.2784157125964</v>
      </c>
      <c r="BD21" s="1">
        <v>1570.6262655303137</v>
      </c>
      <c r="BE21" s="1">
        <v>2055.9475688186485</v>
      </c>
      <c r="BF21" s="1">
        <v>2539.4326397401419</v>
      </c>
      <c r="BG21" s="1">
        <v>2163.5794371751776</v>
      </c>
      <c r="BH21" s="1">
        <v>2496.501264732256</v>
      </c>
      <c r="BI21" s="1">
        <v>3097.4852603840618</v>
      </c>
      <c r="BJ21" s="1">
        <v>2604.3135597221049</v>
      </c>
      <c r="BK21" s="1">
        <v>3245.2789261249332</v>
      </c>
      <c r="BL21" s="1">
        <v>2659.2072490193023</v>
      </c>
      <c r="BM21" s="1">
        <v>2052.8850000000002</v>
      </c>
      <c r="BN21" s="1">
        <v>1218.21684</v>
      </c>
      <c r="BO21" s="1">
        <v>1500.10117997</v>
      </c>
      <c r="BP21" s="1">
        <v>1109.7420021163141</v>
      </c>
      <c r="BQ21" s="1">
        <v>673.02323331368154</v>
      </c>
      <c r="BR21" s="1">
        <v>832.25219123800002</v>
      </c>
      <c r="BS21" s="1">
        <v>1967.8789787619826</v>
      </c>
      <c r="BT21" s="1">
        <v>2913.5822746564709</v>
      </c>
      <c r="BU21" s="1">
        <v>2100.3508816564708</v>
      </c>
      <c r="BV21" s="1">
        <v>3194.8283499999998</v>
      </c>
      <c r="BW21" s="1">
        <v>3475.4762880000003</v>
      </c>
      <c r="BX21" s="1">
        <v>3548</v>
      </c>
      <c r="BY21" s="1">
        <v>2435.2926640000001</v>
      </c>
      <c r="BZ21" s="1">
        <v>2499.9129779999998</v>
      </c>
      <c r="CA21" s="1">
        <v>811.97854699999982</v>
      </c>
      <c r="CB21" s="1">
        <v>1724.8200336800005</v>
      </c>
      <c r="CC21" s="1">
        <v>2426.9634150000002</v>
      </c>
      <c r="CD21" s="1">
        <v>2877.3008259999997</v>
      </c>
      <c r="CE21" s="1">
        <v>3972.3392690000001</v>
      </c>
      <c r="CF21" s="1">
        <v>5242.6153863199997</v>
      </c>
      <c r="CG21" s="1">
        <v>5580.5086553200008</v>
      </c>
      <c r="CH21" s="1">
        <v>5474.7044839999999</v>
      </c>
      <c r="CI21" s="1">
        <v>6262.7869169999985</v>
      </c>
      <c r="CJ21" s="1">
        <v>3706.6682248000011</v>
      </c>
      <c r="CK21" s="1">
        <v>1008.5136141999997</v>
      </c>
      <c r="CL21" s="1">
        <v>2643.2003240000008</v>
      </c>
      <c r="CM21" s="1">
        <v>2559.7927309999941</v>
      </c>
      <c r="CN21" s="1">
        <v>2595.8786389999996</v>
      </c>
      <c r="CO21" s="1">
        <v>3991.578137000005</v>
      </c>
      <c r="CP21" s="1">
        <v>2884.319258</v>
      </c>
      <c r="CQ21" s="1">
        <v>2941.0099310000019</v>
      </c>
      <c r="CR21" s="1">
        <v>5922.1426200000005</v>
      </c>
      <c r="CS21" s="1">
        <v>3690.997134999996</v>
      </c>
      <c r="CT21" s="1">
        <v>7976.9650259999989</v>
      </c>
      <c r="CU21" s="1">
        <v>2127.5183829999978</v>
      </c>
      <c r="CV21" s="1">
        <v>4563.1706379999951</v>
      </c>
      <c r="CW21" s="1">
        <v>3462.6712969999949</v>
      </c>
      <c r="CX21" s="1">
        <v>2329.1403309999987</v>
      </c>
      <c r="CY21" s="1">
        <v>1373.5909259999989</v>
      </c>
      <c r="CZ21" s="1">
        <v>2320.2708510000034</v>
      </c>
      <c r="DA21" s="1">
        <v>2191.7092600000046</v>
      </c>
      <c r="DB21" s="32">
        <v>2137.1055079999969</v>
      </c>
      <c r="DC21" s="1">
        <v>2581.3054628000009</v>
      </c>
      <c r="DD21" s="1">
        <v>3187</v>
      </c>
      <c r="DE21" s="25">
        <v>3632.0433159999952</v>
      </c>
      <c r="DF21" s="25">
        <v>3790.0505189999958</v>
      </c>
      <c r="DG21" s="28">
        <v>2891.7946252253832</v>
      </c>
      <c r="DH21" s="29">
        <v>2694.9169471307955</v>
      </c>
      <c r="DI21" s="29">
        <v>2991</v>
      </c>
      <c r="DJ21" s="32">
        <v>611.92573600000514</v>
      </c>
      <c r="DK21" s="32">
        <v>1846</v>
      </c>
      <c r="DL21" s="32">
        <v>1213.5387841795757</v>
      </c>
      <c r="DM21" s="32">
        <v>833</v>
      </c>
      <c r="DN21" s="32">
        <v>1221.8169140000045</v>
      </c>
      <c r="DO21" s="32">
        <v>4334</v>
      </c>
      <c r="DP21" s="32">
        <v>2253</v>
      </c>
      <c r="DQ21" s="32">
        <v>3211</v>
      </c>
      <c r="DR21" s="32">
        <v>2546.9174130717602</v>
      </c>
      <c r="DS21" s="32">
        <v>3253.4116798271139</v>
      </c>
      <c r="DT21" s="36">
        <v>1824.5910545179522</v>
      </c>
      <c r="DU21" s="36">
        <v>2778</v>
      </c>
      <c r="DV21" s="39">
        <v>2084.5601679999995</v>
      </c>
      <c r="DW21" s="39">
        <v>2061.0230730000017</v>
      </c>
      <c r="DX21" s="39">
        <v>2586.8048399999998</v>
      </c>
      <c r="DY21" s="43">
        <v>916.66479999999979</v>
      </c>
      <c r="DZ21" s="43">
        <v>2496</v>
      </c>
      <c r="EA21" s="43">
        <v>3254</v>
      </c>
      <c r="EB21" s="47">
        <v>4515.3669399999999</v>
      </c>
      <c r="EC21" s="47">
        <v>4485.0241828799963</v>
      </c>
      <c r="ED21" s="47">
        <v>2836</v>
      </c>
      <c r="EE21" s="47">
        <v>5331.9222099999988</v>
      </c>
      <c r="EF21" s="47">
        <v>4101.5389999999998</v>
      </c>
      <c r="EG21" s="47">
        <v>2242</v>
      </c>
      <c r="EH21" s="47">
        <v>1153.5044362952328</v>
      </c>
      <c r="EI21" s="47">
        <v>1212.6879869306265</v>
      </c>
      <c r="EJ21" s="47">
        <v>616.81314227806399</v>
      </c>
      <c r="EK21" s="47">
        <v>2032.7217999999998</v>
      </c>
      <c r="EL21" s="47">
        <v>3144.6745199999996</v>
      </c>
    </row>
    <row r="22" spans="2:142">
      <c r="B22" s="18" t="s">
        <v>7</v>
      </c>
      <c r="C22" s="1">
        <v>3399.9609999999998</v>
      </c>
      <c r="D22" s="1">
        <v>2872.183</v>
      </c>
      <c r="E22" s="1">
        <v>2644.6</v>
      </c>
      <c r="F22" s="1">
        <v>2962.91</v>
      </c>
      <c r="G22" s="1">
        <v>3240.8409999999999</v>
      </c>
      <c r="H22" s="1">
        <v>3371.5540000000001</v>
      </c>
      <c r="I22" s="1">
        <v>3546.2220000000002</v>
      </c>
      <c r="J22" s="1">
        <v>3961.3110000000001</v>
      </c>
      <c r="K22" s="1">
        <v>3936.37</v>
      </c>
      <c r="L22" s="1">
        <v>4183.1850000000004</v>
      </c>
      <c r="M22" s="1">
        <v>3629.75</v>
      </c>
      <c r="N22" s="1">
        <v>3477.5650000000001</v>
      </c>
      <c r="O22" s="1">
        <v>2601.9720000000002</v>
      </c>
      <c r="P22" s="1">
        <v>2348.5509999999999</v>
      </c>
      <c r="Q22" s="1">
        <v>2630.7269999999999</v>
      </c>
      <c r="R22" s="1">
        <v>2384.241</v>
      </c>
      <c r="S22" s="1">
        <v>2375.0329999999999</v>
      </c>
      <c r="T22" s="1">
        <v>2352.8270000000002</v>
      </c>
      <c r="U22" s="1">
        <v>2814.3705877094799</v>
      </c>
      <c r="V22" s="1">
        <v>2753.0211450477</v>
      </c>
      <c r="W22" s="1">
        <v>2961</v>
      </c>
      <c r="X22" s="1">
        <v>3129.9657299999999</v>
      </c>
      <c r="Y22" s="1">
        <v>3306.5948817912099</v>
      </c>
      <c r="Z22" s="1">
        <v>2953.5395086339199</v>
      </c>
      <c r="AA22" s="1">
        <v>2347.0597657329477</v>
      </c>
      <c r="AB22" s="1">
        <v>1815.412788686509</v>
      </c>
      <c r="AC22" s="1">
        <v>1808.4392589291097</v>
      </c>
      <c r="AD22" s="1">
        <v>1895.8595076514343</v>
      </c>
      <c r="AE22" s="1">
        <v>2145.3681610000003</v>
      </c>
      <c r="AF22" s="1">
        <v>2310.2662319999995</v>
      </c>
      <c r="AG22" s="1">
        <v>2324.6859505844832</v>
      </c>
      <c r="AH22" s="1">
        <v>2377.909025886066</v>
      </c>
      <c r="AI22" s="1">
        <v>3025.3659145808156</v>
      </c>
      <c r="AJ22" s="1">
        <v>1946.567618</v>
      </c>
      <c r="AK22" s="1">
        <v>2797.4994409999999</v>
      </c>
      <c r="AL22" s="1">
        <v>2012.094611</v>
      </c>
      <c r="AM22" s="1">
        <v>2610.459104</v>
      </c>
      <c r="AN22" s="1">
        <v>1666.1718919999996</v>
      </c>
      <c r="AO22" s="1">
        <v>1464.4928319999997</v>
      </c>
      <c r="AP22" s="1">
        <v>2220.3047785808149</v>
      </c>
      <c r="AQ22" s="1">
        <v>2294.3366163582882</v>
      </c>
      <c r="AR22" s="1">
        <v>2222.7386137807594</v>
      </c>
      <c r="AS22" s="1">
        <v>2768.4099533714011</v>
      </c>
      <c r="AT22" s="1">
        <v>2742.1170168752542</v>
      </c>
      <c r="AU22" s="1">
        <v>2386.9651038806501</v>
      </c>
      <c r="AV22" s="1">
        <v>3189.4279150385828</v>
      </c>
      <c r="AW22" s="1">
        <v>3360.2681325668432</v>
      </c>
      <c r="AX22" s="1">
        <v>2425.6197041383843</v>
      </c>
      <c r="AY22" s="1">
        <v>2038.7240297660612</v>
      </c>
      <c r="AZ22" s="1">
        <v>1698.3389074777583</v>
      </c>
      <c r="BA22" s="1">
        <v>1841.9838035814937</v>
      </c>
      <c r="BB22" s="1">
        <v>1937.3977656026816</v>
      </c>
      <c r="BC22" s="1">
        <v>2028.722092007157</v>
      </c>
      <c r="BD22" s="1">
        <v>2547.2190092988881</v>
      </c>
      <c r="BE22" s="1">
        <v>2718.2849234031287</v>
      </c>
      <c r="BF22" s="1">
        <v>2594.0519705808147</v>
      </c>
      <c r="BG22" s="1">
        <v>2781.3657281999999</v>
      </c>
      <c r="BH22" s="1">
        <v>2851.2627199999997</v>
      </c>
      <c r="BI22" s="1">
        <v>3043.0089500000008</v>
      </c>
      <c r="BJ22" s="1">
        <v>2613.6179608000484</v>
      </c>
      <c r="BK22" s="1">
        <v>2873.2005152421452</v>
      </c>
      <c r="BL22" s="1">
        <v>2342.2537614792004</v>
      </c>
      <c r="BM22" s="1">
        <v>2123.306</v>
      </c>
      <c r="BN22" s="1">
        <v>2750.3889100000001</v>
      </c>
      <c r="BO22" s="1">
        <v>3326.9814790932096</v>
      </c>
      <c r="BP22" s="1">
        <v>3022.5781157849142</v>
      </c>
      <c r="BQ22" s="1">
        <v>3421.913288979606</v>
      </c>
      <c r="BR22" s="1">
        <v>3487.8873886101983</v>
      </c>
      <c r="BS22" s="1">
        <v>3651.6184501698008</v>
      </c>
      <c r="BT22" s="1">
        <v>2900.0200224600994</v>
      </c>
      <c r="BU22" s="1">
        <v>1569.79451404202</v>
      </c>
      <c r="BV22" s="1">
        <v>3191.3974928670718</v>
      </c>
      <c r="BW22" s="1">
        <v>2895.3210821308085</v>
      </c>
      <c r="BX22" s="1">
        <v>2433</v>
      </c>
      <c r="BY22" s="1">
        <v>4017.0473330512418</v>
      </c>
      <c r="BZ22" s="1">
        <v>4145.4003865500008</v>
      </c>
      <c r="CA22" s="1">
        <v>3009.6770258699999</v>
      </c>
      <c r="CB22" s="1">
        <v>2916.8650792135586</v>
      </c>
      <c r="CC22" s="1">
        <v>3068.2002285163417</v>
      </c>
      <c r="CD22" s="1">
        <v>3655.1743530000003</v>
      </c>
      <c r="CE22" s="1">
        <v>3643.6268220001002</v>
      </c>
      <c r="CF22" s="1">
        <v>3779.2197929002</v>
      </c>
      <c r="CG22" s="1">
        <v>3907.2458784500004</v>
      </c>
      <c r="CH22" s="1">
        <v>3659.8784524398989</v>
      </c>
      <c r="CI22" s="1">
        <v>3225.7576011155547</v>
      </c>
      <c r="CJ22" s="1">
        <v>2628.5955302700004</v>
      </c>
      <c r="CK22" s="1">
        <v>2838.3106952300009</v>
      </c>
      <c r="CL22" s="1">
        <v>2796.3740211999989</v>
      </c>
      <c r="CM22" s="1">
        <v>3185.7251990199984</v>
      </c>
      <c r="CN22" s="1">
        <v>3385.2258422000009</v>
      </c>
      <c r="CO22" s="1">
        <v>3551.8541941308167</v>
      </c>
      <c r="CP22" s="1">
        <v>3787.9975760291836</v>
      </c>
      <c r="CQ22" s="1">
        <v>4398.7709363200011</v>
      </c>
      <c r="CR22" s="1">
        <v>2580.7141590399992</v>
      </c>
      <c r="CS22" s="1">
        <v>3626.5384150000018</v>
      </c>
      <c r="CT22" s="1">
        <v>3027.6140039600004</v>
      </c>
      <c r="CU22" s="1">
        <v>2993.9425060400004</v>
      </c>
      <c r="CV22" s="1">
        <v>2303.0633930539993</v>
      </c>
      <c r="CW22" s="1">
        <v>2134.8190144460009</v>
      </c>
      <c r="CX22" s="1">
        <v>2648.2986651899987</v>
      </c>
      <c r="CY22" s="1">
        <v>2900.7491559608156</v>
      </c>
      <c r="CZ22" s="1">
        <v>2991.1911093899994</v>
      </c>
      <c r="DA22" s="1">
        <v>3438.162610425295</v>
      </c>
      <c r="DB22" s="32">
        <v>3230.7571475310519</v>
      </c>
      <c r="DC22" s="1">
        <v>3069.3039441236538</v>
      </c>
      <c r="DD22" s="1">
        <v>3134</v>
      </c>
      <c r="DE22" s="25">
        <v>2895.4817872000003</v>
      </c>
      <c r="DF22" s="25">
        <v>2962.7433118199997</v>
      </c>
      <c r="DG22" s="28">
        <v>2521.3175307398701</v>
      </c>
      <c r="DH22" s="29">
        <v>2206.8449868526955</v>
      </c>
      <c r="DI22" s="29">
        <v>1311</v>
      </c>
      <c r="DJ22" s="32">
        <v>2312.9876986600002</v>
      </c>
      <c r="DK22" s="32">
        <v>2214</v>
      </c>
      <c r="DL22" s="32">
        <v>2687.4346165811394</v>
      </c>
      <c r="DM22" s="32">
        <v>3261</v>
      </c>
      <c r="DN22" s="32">
        <v>3789.4931096400014</v>
      </c>
      <c r="DO22" s="32">
        <v>2813</v>
      </c>
      <c r="DP22" s="32">
        <v>3114</v>
      </c>
      <c r="DQ22" s="32">
        <v>2868</v>
      </c>
      <c r="DR22" s="32">
        <v>2780.6183180527846</v>
      </c>
      <c r="DS22" s="32">
        <v>2309.6588121287464</v>
      </c>
      <c r="DT22" s="36">
        <v>2006.9619786891881</v>
      </c>
      <c r="DU22" s="36">
        <v>2688</v>
      </c>
      <c r="DV22" s="39">
        <v>2543.2586729881009</v>
      </c>
      <c r="DW22" s="39">
        <v>2855.9940441499998</v>
      </c>
      <c r="DX22" s="39">
        <v>3915.0479608399996</v>
      </c>
      <c r="DY22" s="43">
        <v>3043.8186800000003</v>
      </c>
      <c r="DZ22" s="43">
        <v>3374</v>
      </c>
      <c r="EA22" s="43">
        <v>4196</v>
      </c>
      <c r="EB22" s="47">
        <v>3792.1172699999997</v>
      </c>
      <c r="EC22" s="47">
        <v>3289.7085068300003</v>
      </c>
      <c r="ED22" s="47">
        <v>3717</v>
      </c>
      <c r="EE22" s="47">
        <v>2795.2641799999997</v>
      </c>
      <c r="EF22" s="47">
        <v>3484.935093699999</v>
      </c>
      <c r="EG22" s="47">
        <v>2720</v>
      </c>
      <c r="EH22" s="47">
        <v>2585.5539938933202</v>
      </c>
      <c r="EI22" s="47">
        <v>3486.7143252219962</v>
      </c>
      <c r="EJ22" s="47">
        <v>3046.955827830001</v>
      </c>
      <c r="EK22" s="47">
        <v>3556.0505121699998</v>
      </c>
      <c r="EL22" s="47">
        <v>3821.8475500000009</v>
      </c>
    </row>
    <row r="23" spans="2:142">
      <c r="B23" s="18" t="s">
        <v>20</v>
      </c>
      <c r="C23" s="1">
        <v>3819.8879999999999</v>
      </c>
      <c r="D23" s="1">
        <v>3592.002</v>
      </c>
      <c r="E23" s="1">
        <v>3869.011</v>
      </c>
      <c r="F23" s="1">
        <v>3749.232</v>
      </c>
      <c r="G23" s="1">
        <v>3904.25</v>
      </c>
      <c r="H23" s="1">
        <v>4965.6580000000004</v>
      </c>
      <c r="I23" s="1">
        <v>5085.8389999999999</v>
      </c>
      <c r="J23" s="1">
        <v>5524.6490000000003</v>
      </c>
      <c r="K23" s="1">
        <v>5393.7110000000002</v>
      </c>
      <c r="L23" s="1">
        <v>5512.95</v>
      </c>
      <c r="M23" s="1">
        <v>4678.4350000000004</v>
      </c>
      <c r="N23" s="1">
        <v>4134.7969999999996</v>
      </c>
      <c r="O23" s="1">
        <v>4298.1980000000003</v>
      </c>
      <c r="P23" s="1">
        <v>4454.4840000000004</v>
      </c>
      <c r="Q23" s="1">
        <v>5053.9040000000005</v>
      </c>
      <c r="R23" s="1">
        <v>4438.0870000000004</v>
      </c>
      <c r="S23" s="1">
        <v>4408.8739999999998</v>
      </c>
      <c r="T23" s="1">
        <v>4768.8580000000002</v>
      </c>
      <c r="U23" s="1">
        <v>2142.4441339999998</v>
      </c>
      <c r="V23" s="1">
        <v>2456.8436449999999</v>
      </c>
      <c r="W23" s="1">
        <v>1763.762704</v>
      </c>
      <c r="X23" s="1">
        <v>2555.6055809999998</v>
      </c>
      <c r="Y23" s="1">
        <v>4080.8136359999999</v>
      </c>
      <c r="Z23" s="1">
        <v>3546.0772400000001</v>
      </c>
      <c r="AA23" s="1">
        <v>2845.3356539999995</v>
      </c>
      <c r="AB23" s="1">
        <v>2730.2141299999998</v>
      </c>
      <c r="AC23" s="1">
        <v>3753.5910370000001</v>
      </c>
      <c r="AD23" s="1">
        <v>3187.2293950029998</v>
      </c>
      <c r="AE23" s="1">
        <v>3587.9599289969997</v>
      </c>
      <c r="AF23" s="1">
        <v>3708.7581949999999</v>
      </c>
      <c r="AG23" s="1">
        <v>3857.2633956115474</v>
      </c>
      <c r="AH23" s="1">
        <v>3021.9168229999996</v>
      </c>
      <c r="AI23" s="1">
        <v>3759.3076998611687</v>
      </c>
      <c r="AJ23" s="1">
        <v>4105.9972444999858</v>
      </c>
      <c r="AK23" s="1">
        <v>3993.9225139999762</v>
      </c>
      <c r="AL23" s="1">
        <v>3514.6077810979768</v>
      </c>
      <c r="AM23" s="1">
        <v>3846.7137559350608</v>
      </c>
      <c r="AN23" s="1">
        <v>3477.1395519053108</v>
      </c>
      <c r="AO23" s="1">
        <v>4098.4092013455347</v>
      </c>
      <c r="AP23" s="1">
        <v>3322.4783756683678</v>
      </c>
      <c r="AQ23" s="1">
        <v>3737.8115876315428</v>
      </c>
      <c r="AR23" s="1">
        <v>3332.3599224972154</v>
      </c>
      <c r="AS23" s="1">
        <v>3834.3782143863828</v>
      </c>
      <c r="AT23" s="1">
        <v>3708.0538543582679</v>
      </c>
      <c r="AU23" s="1">
        <v>2765.4214743599891</v>
      </c>
      <c r="AV23" s="1">
        <v>3183.9181116319742</v>
      </c>
      <c r="AW23" s="1">
        <v>3145.644271036123</v>
      </c>
      <c r="AX23" s="1">
        <v>2649.4288199954835</v>
      </c>
      <c r="AY23" s="1">
        <v>2642.2739681575699</v>
      </c>
      <c r="AZ23" s="1">
        <v>2560.3786104233732</v>
      </c>
      <c r="BA23" s="1">
        <v>2782.8828705626429</v>
      </c>
      <c r="BB23" s="1">
        <v>2447.5454628151429</v>
      </c>
      <c r="BC23" s="1">
        <v>1981.966524018412</v>
      </c>
      <c r="BD23" s="1">
        <v>2252.1411030558338</v>
      </c>
      <c r="BE23" s="1">
        <v>2366.9606933797427</v>
      </c>
      <c r="BF23" s="1">
        <v>2501.0980889325492</v>
      </c>
      <c r="BG23" s="1">
        <v>2293.5503941099696</v>
      </c>
      <c r="BH23" s="1">
        <v>2642.0061020321627</v>
      </c>
      <c r="BI23" s="1">
        <v>2130.4690229883026</v>
      </c>
      <c r="BJ23" s="1">
        <v>2007.7294159357434</v>
      </c>
      <c r="BK23" s="1">
        <v>2080.4474703557762</v>
      </c>
      <c r="BL23" s="1">
        <v>2022.9035565098973</v>
      </c>
      <c r="BM23" s="1">
        <v>2371.4209999999998</v>
      </c>
      <c r="BN23" s="1">
        <v>2449.3255299999996</v>
      </c>
      <c r="BO23" s="1">
        <v>1965.5390155043697</v>
      </c>
      <c r="BP23" s="1">
        <v>2437.5209930150113</v>
      </c>
      <c r="BQ23" s="1">
        <v>2355.1960386555288</v>
      </c>
      <c r="BR23" s="1">
        <v>2185.4422426399997</v>
      </c>
      <c r="BS23" s="1">
        <v>2471.4584643600006</v>
      </c>
      <c r="BT23" s="1">
        <v>2456.6059710000004</v>
      </c>
      <c r="BU23" s="1">
        <v>2305.3807779999997</v>
      </c>
      <c r="BV23" s="1">
        <v>2331.913073000002</v>
      </c>
      <c r="BW23" s="1">
        <v>2147.1012940000001</v>
      </c>
      <c r="BX23" s="1">
        <v>2234</v>
      </c>
      <c r="BY23" s="1">
        <v>2490.1890209999997</v>
      </c>
      <c r="BZ23" s="1">
        <v>1463.1367890316949</v>
      </c>
      <c r="CA23" s="1">
        <v>1667.5209600000001</v>
      </c>
      <c r="CB23" s="1">
        <v>2267.4045119999992</v>
      </c>
      <c r="CC23" s="1">
        <v>2479.2788920000003</v>
      </c>
      <c r="CD23" s="1">
        <v>2470.3474569999998</v>
      </c>
      <c r="CE23" s="1">
        <v>2415.520728</v>
      </c>
      <c r="CF23" s="1">
        <v>3058.4076592141146</v>
      </c>
      <c r="CG23" s="1">
        <v>2069.1820408054173</v>
      </c>
      <c r="CH23" s="1">
        <v>2146.6911673132236</v>
      </c>
      <c r="CI23" s="1">
        <v>1966.3200806303753</v>
      </c>
      <c r="CJ23" s="1">
        <v>1506.4846177749303</v>
      </c>
      <c r="CK23" s="1">
        <v>1985.3150745164332</v>
      </c>
      <c r="CL23" s="1">
        <v>2802.9580093714812</v>
      </c>
      <c r="CM23" s="1">
        <v>2358.387963167715</v>
      </c>
      <c r="CN23" s="1">
        <v>2310.1615280778142</v>
      </c>
      <c r="CO23" s="1">
        <v>3648.1945684770076</v>
      </c>
      <c r="CP23" s="1">
        <v>1622.5417668077744</v>
      </c>
      <c r="CQ23" s="1">
        <v>2317.0018450000002</v>
      </c>
      <c r="CR23" s="1">
        <v>1965.0386170000002</v>
      </c>
      <c r="CS23" s="1">
        <v>2279.3540360000006</v>
      </c>
      <c r="CT23" s="1">
        <v>2195.171245</v>
      </c>
      <c r="CU23" s="1">
        <v>2027.3398730000006</v>
      </c>
      <c r="CV23" s="1">
        <v>2025.9673690000006</v>
      </c>
      <c r="CW23" s="1">
        <v>2127.8913320000006</v>
      </c>
      <c r="CX23" s="1">
        <v>1888.8225629999999</v>
      </c>
      <c r="CY23" s="1">
        <v>1954.3231260000011</v>
      </c>
      <c r="CZ23" s="1">
        <v>2064.8697830000006</v>
      </c>
      <c r="DA23" s="1">
        <v>2064.3216420000003</v>
      </c>
      <c r="DB23" s="32">
        <v>2083.7681410000005</v>
      </c>
      <c r="DC23" s="1">
        <v>1972.4342380000001</v>
      </c>
      <c r="DD23" s="1">
        <v>1639</v>
      </c>
      <c r="DE23" s="25">
        <v>1895.2701320000017</v>
      </c>
      <c r="DF23" s="25">
        <v>2314.1784109999999</v>
      </c>
      <c r="DG23" s="28">
        <v>814.42322916210139</v>
      </c>
      <c r="DH23" s="29">
        <v>166.64002638913925</v>
      </c>
      <c r="DI23" s="29">
        <v>658</v>
      </c>
      <c r="DJ23" s="32">
        <v>897.91278900000032</v>
      </c>
      <c r="DK23" s="32">
        <v>1024</v>
      </c>
      <c r="DL23" s="32">
        <v>909.84503853169758</v>
      </c>
      <c r="DM23" s="32">
        <v>1193</v>
      </c>
      <c r="DN23" s="32">
        <v>1165.0849580000004</v>
      </c>
      <c r="DO23" s="32">
        <v>780</v>
      </c>
      <c r="DP23" s="32">
        <v>1126</v>
      </c>
      <c r="DQ23" s="32">
        <v>982</v>
      </c>
      <c r="DR23" s="32">
        <v>1077.484713333215</v>
      </c>
      <c r="DS23" s="32">
        <v>935.35130414838216</v>
      </c>
      <c r="DT23" s="36">
        <v>1010.6652291395994</v>
      </c>
      <c r="DU23" s="36">
        <v>1044</v>
      </c>
      <c r="DV23" s="39">
        <v>1166.6664240000011</v>
      </c>
      <c r="DW23" s="39">
        <v>1008.4640700000006</v>
      </c>
      <c r="DX23" s="39">
        <v>853.41571399999975</v>
      </c>
      <c r="DY23" s="43">
        <v>1329.3970800000002</v>
      </c>
      <c r="DZ23" s="43">
        <v>1358</v>
      </c>
      <c r="EA23" s="43">
        <v>1348</v>
      </c>
      <c r="EB23" s="47">
        <v>1451.3842400000001</v>
      </c>
      <c r="EC23" s="47">
        <v>1112.4497360000014</v>
      </c>
      <c r="ED23" s="47">
        <v>95</v>
      </c>
      <c r="EE23" s="47">
        <v>1574.31909</v>
      </c>
      <c r="EF23" s="47">
        <v>1167.0710899999999</v>
      </c>
      <c r="EG23" s="47">
        <v>1215</v>
      </c>
      <c r="EH23" s="47">
        <v>1219.1773900000001</v>
      </c>
      <c r="EI23" s="47">
        <v>1166.9425343118789</v>
      </c>
      <c r="EJ23" s="47">
        <v>1416.4088588230372</v>
      </c>
      <c r="EK23" s="47">
        <v>1530.9993900000002</v>
      </c>
      <c r="EL23" s="47">
        <v>1285.56504</v>
      </c>
    </row>
    <row r="24" spans="2:142">
      <c r="B24" s="18" t="s">
        <v>21</v>
      </c>
      <c r="C24" s="1">
        <v>46202.754999999997</v>
      </c>
      <c r="D24" s="1">
        <v>41288.112999999998</v>
      </c>
      <c r="E24" s="1">
        <v>40404.921999999999</v>
      </c>
      <c r="F24" s="1">
        <v>36240.199000000001</v>
      </c>
      <c r="G24" s="1">
        <v>28262.535</v>
      </c>
      <c r="H24" s="1">
        <v>29145.578000000001</v>
      </c>
      <c r="I24" s="1">
        <v>27944.241999999998</v>
      </c>
      <c r="J24" s="1">
        <v>32821.088000000003</v>
      </c>
      <c r="K24" s="1">
        <v>36547.385999999999</v>
      </c>
      <c r="L24" s="1">
        <v>40124.606</v>
      </c>
      <c r="M24" s="1">
        <v>41651.411</v>
      </c>
      <c r="N24" s="1">
        <v>45741.18</v>
      </c>
      <c r="O24" s="1">
        <v>47835.976999999999</v>
      </c>
      <c r="P24" s="1">
        <v>42806.285000000003</v>
      </c>
      <c r="Q24" s="1">
        <v>40712.089</v>
      </c>
      <c r="R24" s="1">
        <v>29521.923999999999</v>
      </c>
      <c r="S24" s="1">
        <v>26084.004000000001</v>
      </c>
      <c r="T24" s="1">
        <v>25304.056</v>
      </c>
      <c r="U24" s="1">
        <v>26621</v>
      </c>
      <c r="V24" s="1">
        <v>32087</v>
      </c>
      <c r="W24" s="1">
        <v>33396</v>
      </c>
      <c r="X24" s="1">
        <v>33620.370181008198</v>
      </c>
      <c r="Y24" s="1">
        <v>45375.203511691798</v>
      </c>
      <c r="Z24" s="1">
        <v>47260.018150265299</v>
      </c>
      <c r="AA24" s="1">
        <v>44987.292132657931</v>
      </c>
      <c r="AB24" s="1">
        <v>35819.325982527604</v>
      </c>
      <c r="AC24" s="1">
        <v>41110.870996877871</v>
      </c>
      <c r="AD24" s="1">
        <v>29471.799602841296</v>
      </c>
      <c r="AE24" s="1">
        <v>27697.643820758669</v>
      </c>
      <c r="AF24" s="1">
        <v>24944.463635855176</v>
      </c>
      <c r="AG24" s="1">
        <v>23822.985073244912</v>
      </c>
      <c r="AH24" s="1">
        <v>36237.398743820639</v>
      </c>
      <c r="AI24" s="1">
        <v>33586.508903851471</v>
      </c>
      <c r="AJ24" s="1">
        <v>38013.701820990143</v>
      </c>
      <c r="AK24" s="1">
        <v>42301.671928007483</v>
      </c>
      <c r="AL24" s="1">
        <v>40474.406556108232</v>
      </c>
      <c r="AM24" s="1">
        <v>44979.43266639483</v>
      </c>
      <c r="AN24" s="1">
        <v>39621.931008646483</v>
      </c>
      <c r="AO24" s="1">
        <v>40772.670929651082</v>
      </c>
      <c r="AP24" s="1">
        <v>29293.795357163672</v>
      </c>
      <c r="AQ24" s="1">
        <v>29169.232325833455</v>
      </c>
      <c r="AR24" s="1">
        <v>19084.396086102814</v>
      </c>
      <c r="AS24" s="1">
        <v>24681.973680862731</v>
      </c>
      <c r="AT24" s="1">
        <v>29331.803738246941</v>
      </c>
      <c r="AU24" s="1">
        <v>30213.665425170009</v>
      </c>
      <c r="AV24" s="1">
        <v>36322.395894627705</v>
      </c>
      <c r="AW24" s="1">
        <v>36361.919171053873</v>
      </c>
      <c r="AX24" s="1">
        <v>34233.502840230234</v>
      </c>
      <c r="AY24" s="1">
        <v>38681.698893282388</v>
      </c>
      <c r="AZ24" s="1">
        <v>37529.027330360055</v>
      </c>
      <c r="BA24" s="1">
        <v>30113.391264053043</v>
      </c>
      <c r="BB24" s="1">
        <v>25443.152231274558</v>
      </c>
      <c r="BC24" s="1">
        <v>25120.609972489725</v>
      </c>
      <c r="BD24" s="1">
        <v>18682.144413642476</v>
      </c>
      <c r="BE24" s="1">
        <v>22232.52830405689</v>
      </c>
      <c r="BF24" s="1">
        <v>23824.113125558182</v>
      </c>
      <c r="BG24" s="1">
        <v>28443.891476438301</v>
      </c>
      <c r="BH24" s="1">
        <v>34599.628772648823</v>
      </c>
      <c r="BI24" s="1">
        <v>35632.832422290187</v>
      </c>
      <c r="BJ24" s="1">
        <v>33966.434385903638</v>
      </c>
      <c r="BK24" s="1">
        <v>34401.859142819274</v>
      </c>
      <c r="BL24" s="1">
        <v>31339.269699350069</v>
      </c>
      <c r="BM24" s="1">
        <v>33202.071000000004</v>
      </c>
      <c r="BN24" s="1">
        <v>30580.165419999998</v>
      </c>
      <c r="BO24" s="1">
        <v>23998.294746644795</v>
      </c>
      <c r="BP24" s="1">
        <v>22217.030867661058</v>
      </c>
      <c r="BQ24" s="1">
        <v>22501.086635647531</v>
      </c>
      <c r="BR24" s="1">
        <v>24542.344439736375</v>
      </c>
      <c r="BS24" s="1">
        <v>30644.647209843315</v>
      </c>
      <c r="BT24" s="1">
        <v>33349.338945291645</v>
      </c>
      <c r="BU24" s="1">
        <v>32891.208535019643</v>
      </c>
      <c r="BV24" s="1">
        <v>35871.379026757568</v>
      </c>
      <c r="BW24" s="1">
        <v>34944.49936295201</v>
      </c>
      <c r="BX24" s="1">
        <v>30031</v>
      </c>
      <c r="BY24" s="1">
        <v>33559.746642418351</v>
      </c>
      <c r="BZ24" s="1">
        <v>24071.652957732262</v>
      </c>
      <c r="CA24" s="1">
        <v>17078.153509431413</v>
      </c>
      <c r="CB24" s="1">
        <v>22559.346674659282</v>
      </c>
      <c r="CC24" s="1">
        <v>21136.57961544417</v>
      </c>
      <c r="CD24" s="1">
        <v>25079.915284726889</v>
      </c>
      <c r="CE24" s="1">
        <v>29365.126342533749</v>
      </c>
      <c r="CF24" s="1">
        <v>26467.765628267989</v>
      </c>
      <c r="CG24" s="1">
        <v>33297.610537676061</v>
      </c>
      <c r="CH24" s="1">
        <v>34759.58018996902</v>
      </c>
      <c r="CI24" s="1">
        <v>36196.12443414444</v>
      </c>
      <c r="CJ24" s="1">
        <v>37849.203664657347</v>
      </c>
      <c r="CK24" s="1">
        <v>31168.058696462249</v>
      </c>
      <c r="CL24" s="1">
        <v>26923.49541480494</v>
      </c>
      <c r="CM24" s="1">
        <v>23558.745702535089</v>
      </c>
      <c r="CN24" s="1">
        <v>18965.205943096069</v>
      </c>
      <c r="CO24" s="1">
        <v>28048.279957339942</v>
      </c>
      <c r="CP24" s="1">
        <v>19864.622811346253</v>
      </c>
      <c r="CQ24" s="1">
        <v>29661.233585108905</v>
      </c>
      <c r="CR24" s="1">
        <v>26215.492280742212</v>
      </c>
      <c r="CS24" s="1">
        <v>35329.246700648429</v>
      </c>
      <c r="CT24" s="1">
        <v>38628.468605796465</v>
      </c>
      <c r="CU24" s="1">
        <v>37469.63946708876</v>
      </c>
      <c r="CV24" s="1">
        <v>36396.17633680423</v>
      </c>
      <c r="CW24" s="1">
        <v>39058.566437536705</v>
      </c>
      <c r="CX24" s="1">
        <v>23232.539837818065</v>
      </c>
      <c r="CY24" s="1">
        <v>21727.22788709166</v>
      </c>
      <c r="CZ24" s="1">
        <v>21048.687260807961</v>
      </c>
      <c r="DA24" s="1">
        <v>19215.619657820676</v>
      </c>
      <c r="DB24" s="32">
        <v>26997.704493090489</v>
      </c>
      <c r="DC24" s="1">
        <v>24649.852778474287</v>
      </c>
      <c r="DD24" s="1">
        <v>29355</v>
      </c>
      <c r="DE24" s="25">
        <v>34240.03699627809</v>
      </c>
      <c r="DF24" s="25">
        <v>31399.404540666674</v>
      </c>
      <c r="DG24" s="28">
        <v>24642.208888522044</v>
      </c>
      <c r="DH24" s="29">
        <v>27133.207833954162</v>
      </c>
      <c r="DI24" s="29">
        <v>29807</v>
      </c>
      <c r="DJ24" s="32">
        <v>19550.086648626191</v>
      </c>
      <c r="DK24" s="32">
        <v>20208</v>
      </c>
      <c r="DL24" s="32">
        <v>17211.614402644478</v>
      </c>
      <c r="DM24" s="32">
        <v>20980</v>
      </c>
      <c r="DN24" s="32">
        <v>23916.993975633348</v>
      </c>
      <c r="DO24" s="32">
        <v>25233</v>
      </c>
      <c r="DP24" s="32">
        <v>32615</v>
      </c>
      <c r="DQ24" s="32">
        <v>34637</v>
      </c>
      <c r="DR24" s="32">
        <v>34418.169664479021</v>
      </c>
      <c r="DS24" s="32">
        <v>35180.58932003918</v>
      </c>
      <c r="DT24" s="36">
        <v>35496.886752582839</v>
      </c>
      <c r="DU24" s="36">
        <v>30542</v>
      </c>
      <c r="DV24" s="39">
        <v>23405.979408107607</v>
      </c>
      <c r="DW24" s="39">
        <v>22938.360432255362</v>
      </c>
      <c r="DX24" s="39">
        <v>16888.886435704</v>
      </c>
      <c r="DY24" s="43">
        <v>18091.786399999997</v>
      </c>
      <c r="DZ24" s="43">
        <v>22944</v>
      </c>
      <c r="EA24" s="43">
        <v>27223</v>
      </c>
      <c r="EB24" s="47">
        <v>34853.466289999997</v>
      </c>
      <c r="EC24" s="47">
        <v>31259.877759067982</v>
      </c>
      <c r="ED24" s="47">
        <v>17239</v>
      </c>
      <c r="EE24" s="47">
        <v>37350.799469999998</v>
      </c>
      <c r="EF24" s="47">
        <v>34409.796929327968</v>
      </c>
      <c r="EG24" s="47">
        <v>31483</v>
      </c>
      <c r="EH24" s="47">
        <v>24733.491570000006</v>
      </c>
      <c r="EI24" s="47">
        <v>19550.670523850906</v>
      </c>
      <c r="EJ24" s="47">
        <v>20060.462507679767</v>
      </c>
      <c r="EK24" s="47">
        <v>21993.908849999996</v>
      </c>
      <c r="EL24" s="47">
        <v>23919.628129999997</v>
      </c>
    </row>
    <row r="25" spans="2:142">
      <c r="AM25" s="3" t="s">
        <v>11</v>
      </c>
    </row>
    <row r="26" spans="2:142" ht="15.75" thickBot="1">
      <c r="B26" s="19" t="s">
        <v>23</v>
      </c>
      <c r="C26" s="16">
        <v>42005</v>
      </c>
      <c r="D26" s="16">
        <v>42036</v>
      </c>
      <c r="E26" s="16">
        <v>42064</v>
      </c>
      <c r="F26" s="16">
        <v>42095</v>
      </c>
      <c r="G26" s="16">
        <v>42125</v>
      </c>
      <c r="H26" s="16">
        <v>42156</v>
      </c>
      <c r="I26" s="16">
        <v>42186</v>
      </c>
      <c r="J26" s="16">
        <v>42217</v>
      </c>
      <c r="K26" s="16">
        <v>42248</v>
      </c>
      <c r="L26" s="16">
        <v>42278</v>
      </c>
      <c r="M26" s="16">
        <v>42309</v>
      </c>
      <c r="N26" s="16">
        <v>42339</v>
      </c>
      <c r="O26" s="16">
        <v>42370</v>
      </c>
      <c r="P26" s="16">
        <v>42401</v>
      </c>
      <c r="Q26" s="16">
        <v>42430</v>
      </c>
      <c r="R26" s="16">
        <v>42461</v>
      </c>
      <c r="S26" s="16">
        <v>42491</v>
      </c>
      <c r="T26" s="16">
        <v>42522</v>
      </c>
      <c r="U26" s="16">
        <v>42552</v>
      </c>
      <c r="V26" s="16">
        <v>42583</v>
      </c>
      <c r="W26" s="16">
        <v>42614</v>
      </c>
      <c r="X26" s="16">
        <v>42644</v>
      </c>
      <c r="Y26" s="16">
        <v>42675</v>
      </c>
      <c r="Z26" s="16">
        <v>42705</v>
      </c>
      <c r="AA26" s="16">
        <v>42736</v>
      </c>
      <c r="AB26" s="16">
        <v>42767</v>
      </c>
      <c r="AC26" s="16">
        <v>42795</v>
      </c>
      <c r="AD26" s="16">
        <v>42826</v>
      </c>
      <c r="AE26" s="16">
        <v>42856</v>
      </c>
      <c r="AF26" s="16">
        <v>42887</v>
      </c>
      <c r="AG26" s="16">
        <v>42917</v>
      </c>
      <c r="AH26" s="16">
        <v>42948</v>
      </c>
      <c r="AI26" s="16">
        <v>42979</v>
      </c>
      <c r="AJ26" s="16">
        <v>43009</v>
      </c>
      <c r="AK26" s="16">
        <v>43040</v>
      </c>
      <c r="AL26" s="16">
        <v>43070</v>
      </c>
      <c r="AM26" s="16">
        <v>43101</v>
      </c>
      <c r="AN26" s="16">
        <v>43132</v>
      </c>
      <c r="AO26" s="16">
        <v>43160</v>
      </c>
      <c r="AP26" s="16">
        <v>43191</v>
      </c>
      <c r="AQ26" s="16">
        <v>43221</v>
      </c>
      <c r="AR26" s="16">
        <v>43252</v>
      </c>
      <c r="AS26" s="16">
        <v>43282</v>
      </c>
      <c r="AT26" s="16">
        <v>43313</v>
      </c>
      <c r="AU26" s="16">
        <v>43344</v>
      </c>
      <c r="AV26" s="12">
        <v>43374</v>
      </c>
      <c r="AW26" s="12">
        <v>43405</v>
      </c>
      <c r="AX26" s="12">
        <v>43435</v>
      </c>
      <c r="AY26" s="12">
        <v>43466</v>
      </c>
      <c r="AZ26" s="12">
        <v>43497</v>
      </c>
      <c r="BA26" s="12">
        <v>43525</v>
      </c>
      <c r="BB26" s="12">
        <v>43556</v>
      </c>
      <c r="BC26" s="12">
        <v>43586</v>
      </c>
      <c r="BD26" s="12">
        <v>43617</v>
      </c>
      <c r="BE26" s="12">
        <v>43647</v>
      </c>
      <c r="BF26" s="12">
        <v>43678</v>
      </c>
      <c r="BG26" s="12">
        <v>43709</v>
      </c>
      <c r="BH26" s="12">
        <v>43739</v>
      </c>
      <c r="BI26" s="12">
        <v>43770</v>
      </c>
      <c r="BJ26" s="12">
        <v>43800</v>
      </c>
      <c r="BK26" s="12">
        <v>43831</v>
      </c>
      <c r="BL26" s="12">
        <v>43862</v>
      </c>
      <c r="BM26" s="12">
        <v>43891</v>
      </c>
      <c r="BN26" s="12">
        <v>43922</v>
      </c>
      <c r="BO26" s="12">
        <v>43952</v>
      </c>
      <c r="BP26" s="12">
        <v>43983</v>
      </c>
      <c r="BQ26" s="12">
        <v>44013</v>
      </c>
      <c r="BR26" s="12">
        <v>44044</v>
      </c>
      <c r="BS26" s="12">
        <v>44075</v>
      </c>
      <c r="BT26" s="12">
        <v>44105</v>
      </c>
      <c r="BU26" s="12">
        <v>44136</v>
      </c>
      <c r="BV26" s="12">
        <v>44166</v>
      </c>
      <c r="BW26" s="12">
        <v>44197</v>
      </c>
      <c r="BX26" s="12">
        <v>44228</v>
      </c>
      <c r="BY26" s="12">
        <v>44256</v>
      </c>
      <c r="BZ26" s="12">
        <v>44287</v>
      </c>
      <c r="CA26" s="12">
        <v>44317</v>
      </c>
      <c r="CB26" s="12">
        <v>44348</v>
      </c>
      <c r="CC26" s="12">
        <v>44378</v>
      </c>
      <c r="CD26" s="12">
        <v>44409</v>
      </c>
      <c r="CE26" s="12">
        <v>44440</v>
      </c>
      <c r="CF26" s="12">
        <v>44470</v>
      </c>
      <c r="CG26" s="12">
        <v>44501</v>
      </c>
      <c r="CH26" s="12">
        <v>44531</v>
      </c>
      <c r="CI26" s="12">
        <v>44562</v>
      </c>
      <c r="CJ26" s="12">
        <v>44593</v>
      </c>
      <c r="CK26" s="12">
        <v>44621</v>
      </c>
      <c r="CL26" s="12">
        <v>44652</v>
      </c>
      <c r="CM26" s="12">
        <v>44682</v>
      </c>
      <c r="CN26" s="12">
        <v>44713</v>
      </c>
      <c r="CO26" s="12">
        <v>44743</v>
      </c>
      <c r="CP26" s="12">
        <v>44774</v>
      </c>
      <c r="CQ26" s="12">
        <v>44805</v>
      </c>
      <c r="CR26" s="12">
        <v>44835</v>
      </c>
      <c r="CS26" s="12">
        <v>44866</v>
      </c>
      <c r="CT26" s="12">
        <v>44896</v>
      </c>
      <c r="CU26" s="12">
        <v>44927</v>
      </c>
      <c r="CV26" s="12">
        <v>44958</v>
      </c>
      <c r="CW26" s="12">
        <v>44986</v>
      </c>
      <c r="CX26" s="12">
        <v>45017</v>
      </c>
      <c r="CY26" s="12">
        <v>45047</v>
      </c>
      <c r="CZ26" s="12">
        <v>45078</v>
      </c>
      <c r="DA26" s="12">
        <v>45108</v>
      </c>
      <c r="DB26" s="12">
        <v>45139</v>
      </c>
      <c r="DC26" s="12">
        <v>45170</v>
      </c>
      <c r="DD26" s="12">
        <v>45200</v>
      </c>
      <c r="DE26" s="23">
        <v>45231</v>
      </c>
      <c r="DF26" s="23">
        <v>45261</v>
      </c>
      <c r="DG26" s="26">
        <v>45292</v>
      </c>
      <c r="DH26" s="26">
        <v>45323</v>
      </c>
      <c r="DI26" s="26">
        <v>45352</v>
      </c>
      <c r="DJ26" s="30">
        <v>45383</v>
      </c>
      <c r="DK26" s="33">
        <v>45413</v>
      </c>
      <c r="DL26" s="33">
        <v>45444</v>
      </c>
      <c r="DM26" s="33">
        <v>45474</v>
      </c>
      <c r="DN26" s="33">
        <v>45505</v>
      </c>
      <c r="DO26" s="33">
        <v>45536</v>
      </c>
      <c r="DP26" s="33">
        <v>45566</v>
      </c>
      <c r="DQ26" s="33">
        <v>45597</v>
      </c>
      <c r="DR26" s="33">
        <v>45627</v>
      </c>
      <c r="DS26" s="34">
        <v>45658</v>
      </c>
      <c r="DT26" s="34">
        <v>45689</v>
      </c>
      <c r="DU26" s="34">
        <v>45717</v>
      </c>
      <c r="DV26" s="37">
        <v>45748</v>
      </c>
      <c r="DW26" s="40">
        <v>45778</v>
      </c>
      <c r="DX26" s="40">
        <v>45809</v>
      </c>
      <c r="DY26" s="41">
        <v>45839</v>
      </c>
      <c r="DZ26" s="41">
        <v>45870</v>
      </c>
      <c r="EA26" s="41">
        <v>45901</v>
      </c>
      <c r="EB26" s="45">
        <v>45931</v>
      </c>
      <c r="EC26" s="45">
        <v>45962</v>
      </c>
      <c r="ED26" s="45">
        <v>45992</v>
      </c>
      <c r="EE26" s="45">
        <v>46023</v>
      </c>
      <c r="EF26" s="45">
        <v>46054</v>
      </c>
      <c r="EG26" s="45">
        <v>46082</v>
      </c>
      <c r="EH26" s="45">
        <v>46113</v>
      </c>
      <c r="EI26" s="45">
        <v>46143</v>
      </c>
      <c r="EJ26" s="45">
        <v>46174</v>
      </c>
      <c r="EK26" s="45">
        <v>46204</v>
      </c>
      <c r="EL26" s="45">
        <v>46235</v>
      </c>
    </row>
    <row r="27" spans="2:142">
      <c r="B27" s="13" t="s">
        <v>2</v>
      </c>
      <c r="C27" s="1">
        <f>+C7+C8</f>
        <v>116692.558</v>
      </c>
      <c r="D27" s="1">
        <f t="shared" ref="D27:AK27" si="0">+D7+D8</f>
        <v>107780.78899999999</v>
      </c>
      <c r="E27" s="1">
        <f t="shared" si="0"/>
        <v>123688.376</v>
      </c>
      <c r="F27" s="1">
        <f t="shared" si="0"/>
        <v>128077.82</v>
      </c>
      <c r="G27" s="1">
        <f t="shared" si="0"/>
        <v>127185.55900000001</v>
      </c>
      <c r="H27" s="1">
        <f t="shared" si="0"/>
        <v>135156.10800000001</v>
      </c>
      <c r="I27" s="1">
        <f t="shared" si="0"/>
        <v>140953.946</v>
      </c>
      <c r="J27" s="1">
        <f t="shared" si="0"/>
        <v>133482.71600000001</v>
      </c>
      <c r="K27" s="1">
        <f t="shared" si="0"/>
        <v>139622.899</v>
      </c>
      <c r="L27" s="1">
        <f t="shared" si="0"/>
        <v>142327.77499999999</v>
      </c>
      <c r="M27" s="1">
        <f t="shared" si="0"/>
        <v>128674.099</v>
      </c>
      <c r="N27" s="1">
        <f t="shared" si="0"/>
        <v>125645.677</v>
      </c>
      <c r="O27" s="1">
        <f t="shared" si="0"/>
        <v>119766.74799999999</v>
      </c>
      <c r="P27" s="1">
        <f t="shared" si="0"/>
        <v>108715.622</v>
      </c>
      <c r="Q27" s="1">
        <f t="shared" si="0"/>
        <v>130305.31300000001</v>
      </c>
      <c r="R27" s="1">
        <f t="shared" si="0"/>
        <v>109415.93400000001</v>
      </c>
      <c r="S27" s="1">
        <f t="shared" si="0"/>
        <v>126809.429</v>
      </c>
      <c r="T27" s="1">
        <f t="shared" si="0"/>
        <v>132486.804</v>
      </c>
      <c r="U27" s="1">
        <f t="shared" si="0"/>
        <v>141151.79483999999</v>
      </c>
      <c r="V27" s="1">
        <f t="shared" si="0"/>
        <v>131063.49156200001</v>
      </c>
      <c r="W27" s="1">
        <f t="shared" si="0"/>
        <v>116436.39986999999</v>
      </c>
      <c r="X27" s="1">
        <f t="shared" si="0"/>
        <v>119255.32192</v>
      </c>
      <c r="Y27" s="1">
        <f t="shared" si="0"/>
        <v>110141.581932</v>
      </c>
      <c r="Z27" s="1">
        <f t="shared" si="0"/>
        <v>109967</v>
      </c>
      <c r="AA27" s="1">
        <f t="shared" si="0"/>
        <v>106727.67072800001</v>
      </c>
      <c r="AB27" s="1">
        <f t="shared" si="0"/>
        <v>94112.317403999987</v>
      </c>
      <c r="AC27" s="1">
        <f t="shared" si="0"/>
        <v>110773.25022400002</v>
      </c>
      <c r="AD27" s="1">
        <f t="shared" si="0"/>
        <v>90426.05430399999</v>
      </c>
      <c r="AE27" s="1">
        <f t="shared" si="0"/>
        <v>106473.367035</v>
      </c>
      <c r="AF27" s="1">
        <f t="shared" si="0"/>
        <v>112308.827462</v>
      </c>
      <c r="AG27" s="1">
        <f t="shared" si="0"/>
        <v>120794.6411417879</v>
      </c>
      <c r="AH27" s="1">
        <f t="shared" si="0"/>
        <v>137178.949062</v>
      </c>
      <c r="AI27" s="1">
        <f t="shared" si="0"/>
        <v>110709.71728799999</v>
      </c>
      <c r="AJ27" s="1">
        <f t="shared" si="0"/>
        <v>119074.127146</v>
      </c>
      <c r="AK27" s="1">
        <f t="shared" si="0"/>
        <v>102482.43730799999</v>
      </c>
      <c r="AL27" s="1">
        <f t="shared" ref="AL27:AQ27" si="1">+AL8+AL7</f>
        <v>101532.83625358333</v>
      </c>
      <c r="AM27" s="1">
        <f t="shared" si="1"/>
        <v>107764.16467920074</v>
      </c>
      <c r="AN27" s="1">
        <f t="shared" si="1"/>
        <v>99275.013328077752</v>
      </c>
      <c r="AO27" s="1">
        <f t="shared" si="1"/>
        <v>105759.15295287612</v>
      </c>
      <c r="AP27" s="1">
        <f t="shared" si="1"/>
        <v>108872.45235338042</v>
      </c>
      <c r="AQ27" s="1">
        <f t="shared" si="1"/>
        <v>125289.11916741332</v>
      </c>
      <c r="AR27" s="1">
        <f t="shared" ref="AR27:AS27" si="2">+AR8+AR7</f>
        <v>112008.67146232269</v>
      </c>
      <c r="AS27" s="1">
        <f t="shared" si="2"/>
        <v>114234.51747519024</v>
      </c>
      <c r="AT27" s="1">
        <f t="shared" ref="AT27:AU27" si="3">+AT8+AT7</f>
        <v>117819.52338655728</v>
      </c>
      <c r="AU27" s="1">
        <f t="shared" si="3"/>
        <v>121442.2028961802</v>
      </c>
      <c r="AV27" s="1">
        <f t="shared" ref="AV27:AW27" si="4">+AV8+AV7</f>
        <v>114013.34561426524</v>
      </c>
      <c r="AW27" s="1">
        <f t="shared" si="4"/>
        <v>98569.719090966071</v>
      </c>
      <c r="AX27" s="1">
        <f t="shared" ref="AX27:AY27" si="5">+AX8+AX7</f>
        <v>97752.106809952267</v>
      </c>
      <c r="AY27" s="1">
        <f t="shared" si="5"/>
        <v>102080.29982207008</v>
      </c>
      <c r="AZ27" s="1">
        <f t="shared" ref="AZ27:BA27" si="6">+AZ8+AZ7</f>
        <v>85695.747854211077</v>
      </c>
      <c r="BA27" s="1">
        <f t="shared" si="6"/>
        <v>105401.41648331491</v>
      </c>
      <c r="BB27" s="1">
        <f t="shared" ref="BB27:BC27" si="7">+BB8+BB7</f>
        <v>101938.4857031022</v>
      </c>
      <c r="BC27" s="1">
        <f t="shared" si="7"/>
        <v>118579.51105843473</v>
      </c>
      <c r="BD27" s="1">
        <f t="shared" ref="BD27:BE27" si="8">+BD8+BD7</f>
        <v>113377.36922943089</v>
      </c>
      <c r="BE27" s="1">
        <f t="shared" si="8"/>
        <v>120429.65040387707</v>
      </c>
      <c r="BF27" s="1">
        <f t="shared" ref="BF27:BG27" si="9">+BF8+BF7</f>
        <v>98160.092892991932</v>
      </c>
      <c r="BG27" s="1">
        <f t="shared" si="9"/>
        <v>98126.258570239122</v>
      </c>
      <c r="BH27" s="1">
        <f t="shared" ref="BH27:BJ27" si="10">+BH8+BH7</f>
        <v>96857.130175965445</v>
      </c>
      <c r="BI27" s="1">
        <f t="shared" si="10"/>
        <v>85726.160319295188</v>
      </c>
      <c r="BJ27" s="1">
        <f t="shared" si="10"/>
        <v>85163.860079212041</v>
      </c>
      <c r="BK27" s="1">
        <f t="shared" ref="BK27:BL27" si="11">+BK8+BK7</f>
        <v>84515.485675197444</v>
      </c>
      <c r="BL27" s="1">
        <f t="shared" si="11"/>
        <v>80108.984020459437</v>
      </c>
      <c r="BM27" s="1">
        <f t="shared" ref="BM27" si="12">+BM8+BM7</f>
        <v>103160.46900000001</v>
      </c>
      <c r="BN27" s="1">
        <f t="shared" ref="BN27:BP27" si="13">+BN8+BN7</f>
        <v>128332.716304</v>
      </c>
      <c r="BO27" s="1">
        <f t="shared" si="13"/>
        <v>115545.50361820692</v>
      </c>
      <c r="BP27" s="1">
        <f t="shared" si="13"/>
        <v>127965.92768798232</v>
      </c>
      <c r="BQ27" s="1">
        <f t="shared" ref="BQ27:BR27" si="14">+BQ8+BQ7</f>
        <v>113241.19000131669</v>
      </c>
      <c r="BR27" s="1">
        <f t="shared" si="14"/>
        <v>111897.08494501602</v>
      </c>
      <c r="BS27" s="1">
        <f t="shared" ref="BS27:BT27" si="15">+BS8+BS7</f>
        <v>97482.273089231952</v>
      </c>
      <c r="BT27" s="1">
        <f t="shared" si="15"/>
        <v>97752.393968100019</v>
      </c>
      <c r="BU27" s="1">
        <f t="shared" ref="BU27:BV27" si="16">+BU8+BU7</f>
        <v>93037.885829957144</v>
      </c>
      <c r="BV27" s="1">
        <f t="shared" si="16"/>
        <v>100511.294327</v>
      </c>
      <c r="BW27" s="1">
        <f t="shared" ref="BW27:BX27" si="17">+BW8+BW7</f>
        <v>92427.415894000005</v>
      </c>
      <c r="BX27" s="1">
        <f t="shared" si="17"/>
        <v>76252</v>
      </c>
      <c r="BY27" s="1">
        <f t="shared" ref="BY27:BZ27" si="18">+BY8+BY7</f>
        <v>99513.674362960111</v>
      </c>
      <c r="BZ27" s="1">
        <f t="shared" si="18"/>
        <v>104218.073378</v>
      </c>
      <c r="CA27" s="1">
        <f t="shared" ref="CA27:CB27" si="19">+CA8+CA7</f>
        <v>103301.62777904002</v>
      </c>
      <c r="CB27" s="1">
        <f t="shared" si="19"/>
        <v>106245.62713799998</v>
      </c>
      <c r="CC27" s="1">
        <v>111745.68439352009</v>
      </c>
      <c r="CD27" s="1">
        <v>110331.26028348002</v>
      </c>
      <c r="CE27" s="1">
        <v>104349.06515864801</v>
      </c>
      <c r="CF27" s="1">
        <v>103056.751903</v>
      </c>
      <c r="CG27" s="1">
        <v>93333.723084536003</v>
      </c>
      <c r="CH27" s="1">
        <v>94060.829704970747</v>
      </c>
      <c r="CI27" s="1">
        <v>92389.13890988889</v>
      </c>
      <c r="CJ27" s="1">
        <v>85027.685883999991</v>
      </c>
      <c r="CK27" s="1">
        <v>85980.937364400001</v>
      </c>
      <c r="CL27" s="1">
        <v>90085.131761000011</v>
      </c>
      <c r="CM27" s="1">
        <v>98537.191938294738</v>
      </c>
      <c r="CN27" s="1">
        <v>100959.02306445724</v>
      </c>
      <c r="CO27" s="1">
        <v>105057.94060624804</v>
      </c>
      <c r="CP27" s="1">
        <v>105606.07557675199</v>
      </c>
      <c r="CQ27" s="1">
        <v>106090.72344895203</v>
      </c>
      <c r="CR27" s="1">
        <v>106282.50793430403</v>
      </c>
      <c r="CS27" s="1">
        <v>97335.137917000029</v>
      </c>
      <c r="CT27" s="1">
        <v>94706.494439000046</v>
      </c>
      <c r="CU27" s="1">
        <v>94098.981654000047</v>
      </c>
      <c r="CV27" s="1">
        <v>87130.987457960044</v>
      </c>
      <c r="CW27" s="1">
        <v>95252.553322040054</v>
      </c>
      <c r="CX27" s="1">
        <v>94211.918945999991</v>
      </c>
      <c r="CY27" s="1">
        <v>99638.798310000027</v>
      </c>
      <c r="CZ27" s="1">
        <v>102867.05098400003</v>
      </c>
      <c r="DA27" s="1">
        <v>109079.02283200002</v>
      </c>
      <c r="DB27" s="32">
        <v>106731.67891800008</v>
      </c>
      <c r="DC27" s="1">
        <v>88889.12349928802</v>
      </c>
      <c r="DD27" s="1">
        <v>102799</v>
      </c>
      <c r="DE27" s="25">
        <v>101727.82056975205</v>
      </c>
      <c r="DF27" s="25">
        <v>85152.758075999998</v>
      </c>
      <c r="DG27" s="28">
        <v>76805.421868021571</v>
      </c>
      <c r="DH27" s="29">
        <v>68265.540033585014</v>
      </c>
      <c r="DI27" s="29">
        <v>79769</v>
      </c>
      <c r="DJ27" s="32">
        <v>81564.780674248032</v>
      </c>
      <c r="DK27" s="32">
        <v>94906</v>
      </c>
      <c r="DL27" s="32">
        <v>94152.131509796411</v>
      </c>
      <c r="DM27" s="32">
        <v>104230</v>
      </c>
      <c r="DN27" s="32">
        <v>111834.72548575202</v>
      </c>
      <c r="DO27" s="32">
        <v>99617</v>
      </c>
      <c r="DP27" s="32">
        <v>101640</v>
      </c>
      <c r="DQ27" s="32">
        <v>90117</v>
      </c>
      <c r="DR27" s="32">
        <v>89483.966494290289</v>
      </c>
      <c r="DS27" s="32">
        <v>86568.879996890813</v>
      </c>
      <c r="DT27" s="36">
        <v>74311.51932061532</v>
      </c>
      <c r="DU27" s="36">
        <v>87041</v>
      </c>
      <c r="DV27" s="39">
        <v>93366.573484963083</v>
      </c>
      <c r="DW27" s="39">
        <f t="shared" ref="DW27:DX27" si="20">+DW8+DW7</f>
        <v>89901.344218000027</v>
      </c>
      <c r="DX27" s="39">
        <f t="shared" si="20"/>
        <v>93472.16341400001</v>
      </c>
      <c r="DY27" s="43">
        <v>97023.040580000015</v>
      </c>
      <c r="DZ27" s="43">
        <v>93932</v>
      </c>
      <c r="EA27" s="43">
        <v>97644</v>
      </c>
      <c r="EB27" s="47">
        <v>100739.38862</v>
      </c>
      <c r="EC27" s="47">
        <v>82236.730327231067</v>
      </c>
      <c r="ED27" s="47">
        <v>80564.476999999999</v>
      </c>
      <c r="EE27" s="47">
        <f t="shared" ref="EE27:EJ27" si="21">+EE7+EE8</f>
        <v>87231.926200000002</v>
      </c>
      <c r="EF27" s="47">
        <f t="shared" si="21"/>
        <v>78441.575280000005</v>
      </c>
      <c r="EG27" s="47">
        <f t="shared" si="21"/>
        <v>84811</v>
      </c>
      <c r="EH27" s="47">
        <f t="shared" si="21"/>
        <v>90887</v>
      </c>
      <c r="EI27" s="47">
        <f t="shared" si="21"/>
        <v>92355.707603506642</v>
      </c>
      <c r="EJ27" s="47">
        <f t="shared" si="21"/>
        <v>102626</v>
      </c>
      <c r="EK27" s="47">
        <f t="shared" ref="EK27:EL27" si="22">+EK7+EK8</f>
        <v>101379.99530675</v>
      </c>
      <c r="EL27" s="47">
        <f t="shared" si="22"/>
        <v>107848.65670199998</v>
      </c>
    </row>
    <row r="28" spans="2:142">
      <c r="B28" s="11" t="s">
        <v>3</v>
      </c>
      <c r="C28" s="1">
        <f>+C10+C11</f>
        <v>19692.909</v>
      </c>
      <c r="D28" s="1">
        <f t="shared" ref="D28:AL28" si="23">+D10+D11</f>
        <v>15502.169</v>
      </c>
      <c r="E28" s="1">
        <f t="shared" si="23"/>
        <v>16209.039999999999</v>
      </c>
      <c r="F28" s="1">
        <f t="shared" si="23"/>
        <v>17480.144</v>
      </c>
      <c r="G28" s="1">
        <f t="shared" si="23"/>
        <v>18815.771000000001</v>
      </c>
      <c r="H28" s="1">
        <f t="shared" si="23"/>
        <v>18775.758999999998</v>
      </c>
      <c r="I28" s="1">
        <f t="shared" si="23"/>
        <v>25381.34</v>
      </c>
      <c r="J28" s="1">
        <f t="shared" si="23"/>
        <v>23930.786</v>
      </c>
      <c r="K28" s="1">
        <f t="shared" si="23"/>
        <v>29766.713</v>
      </c>
      <c r="L28" s="1">
        <f t="shared" si="23"/>
        <v>30557.053</v>
      </c>
      <c r="M28" s="1">
        <f t="shared" si="23"/>
        <v>29728.271999999997</v>
      </c>
      <c r="N28" s="1">
        <f t="shared" si="23"/>
        <v>26430.2</v>
      </c>
      <c r="O28" s="1">
        <f t="shared" si="23"/>
        <v>20057.122000000003</v>
      </c>
      <c r="P28" s="1">
        <f t="shared" si="23"/>
        <v>13396.663999999999</v>
      </c>
      <c r="Q28" s="1">
        <f t="shared" si="23"/>
        <v>12844.9</v>
      </c>
      <c r="R28" s="1">
        <f t="shared" si="23"/>
        <v>9295.6059999999998</v>
      </c>
      <c r="S28" s="1">
        <f t="shared" si="23"/>
        <v>7983.5470000000005</v>
      </c>
      <c r="T28" s="1">
        <f t="shared" si="23"/>
        <v>8296.3179999999993</v>
      </c>
      <c r="U28" s="1">
        <f t="shared" si="23"/>
        <v>16757.931612595461</v>
      </c>
      <c r="V28" s="1">
        <f t="shared" si="23"/>
        <v>17404</v>
      </c>
      <c r="W28" s="1">
        <f t="shared" si="23"/>
        <v>22285</v>
      </c>
      <c r="X28" s="1">
        <f t="shared" si="23"/>
        <v>22387</v>
      </c>
      <c r="Y28" s="1">
        <f t="shared" si="23"/>
        <v>18743</v>
      </c>
      <c r="Z28" s="1">
        <f t="shared" si="23"/>
        <v>21727</v>
      </c>
      <c r="AA28" s="1">
        <f t="shared" si="23"/>
        <v>17928.515048583948</v>
      </c>
      <c r="AB28" s="1">
        <f t="shared" si="23"/>
        <v>14353.209901310969</v>
      </c>
      <c r="AC28" s="1">
        <f t="shared" si="23"/>
        <v>9865.7100262288859</v>
      </c>
      <c r="AD28" s="1">
        <f t="shared" si="23"/>
        <v>10309.452337653112</v>
      </c>
      <c r="AE28" s="1">
        <f t="shared" si="23"/>
        <v>12879.160776987457</v>
      </c>
      <c r="AF28" s="1">
        <f t="shared" si="23"/>
        <v>12187.436745402678</v>
      </c>
      <c r="AG28" s="1">
        <f t="shared" si="23"/>
        <v>20350.394498602607</v>
      </c>
      <c r="AH28" s="1">
        <f t="shared" si="23"/>
        <v>13523.292028406389</v>
      </c>
      <c r="AI28" s="1">
        <f t="shared" si="23"/>
        <v>21517.295785225622</v>
      </c>
      <c r="AJ28" s="1">
        <f t="shared" si="23"/>
        <v>19868.284131685385</v>
      </c>
      <c r="AK28" s="1">
        <f t="shared" si="23"/>
        <v>21653.338719925865</v>
      </c>
      <c r="AL28" s="1">
        <f t="shared" si="23"/>
        <v>20298.125248451848</v>
      </c>
      <c r="AM28" s="1">
        <f t="shared" ref="AM28:AN28" si="24">+AM10+AM11</f>
        <v>24739.467010036475</v>
      </c>
      <c r="AN28" s="1">
        <f t="shared" si="24"/>
        <v>15443.66050704868</v>
      </c>
      <c r="AO28" s="1">
        <f t="shared" ref="AO28:AQ28" si="25">+AO10+AO11</f>
        <v>13230.977881836567</v>
      </c>
      <c r="AP28" s="1">
        <f t="shared" si="25"/>
        <v>11976.878514360711</v>
      </c>
      <c r="AQ28" s="1">
        <f t="shared" si="25"/>
        <v>13831.420387317416</v>
      </c>
      <c r="AR28" s="1">
        <f t="shared" ref="AR28:AS28" si="26">+AR10+AR11</f>
        <v>15626.485007620544</v>
      </c>
      <c r="AS28" s="1">
        <f t="shared" si="26"/>
        <v>20077.805831507729</v>
      </c>
      <c r="AT28" s="1">
        <f t="shared" ref="AT28:AU28" si="27">+AT10+AT11</f>
        <v>17708.916952899504</v>
      </c>
      <c r="AU28" s="1">
        <f t="shared" si="27"/>
        <v>25528.293814542529</v>
      </c>
      <c r="AV28" s="1">
        <f t="shared" ref="AV28:AW28" si="28">+AV10+AV11</f>
        <v>26001.998821066947</v>
      </c>
      <c r="AW28" s="1">
        <f t="shared" si="28"/>
        <v>26937.057748513442</v>
      </c>
      <c r="AX28" s="1">
        <f t="shared" ref="AX28:AY28" si="29">+AX10+AX11</f>
        <v>21641.067357852909</v>
      </c>
      <c r="AY28" s="1">
        <f t="shared" si="29"/>
        <v>19254.247720698113</v>
      </c>
      <c r="AZ28" s="1">
        <f t="shared" ref="AZ28:BA28" si="30">+AZ10+AZ11</f>
        <v>14272.898325022352</v>
      </c>
      <c r="BA28" s="1">
        <f t="shared" si="30"/>
        <v>11632.144843103661</v>
      </c>
      <c r="BB28" s="1">
        <f t="shared" ref="BB28:BC28" si="31">+BB10+BB11</f>
        <v>12122.448051669628</v>
      </c>
      <c r="BC28" s="1">
        <f t="shared" si="31"/>
        <v>15006.66573964875</v>
      </c>
      <c r="BD28" s="1">
        <f t="shared" ref="BD28:BE28" si="32">+BD10+BD11</f>
        <v>13685.989271736016</v>
      </c>
      <c r="BE28" s="1">
        <f t="shared" si="32"/>
        <v>17374.146994064882</v>
      </c>
      <c r="BF28" s="1">
        <f t="shared" ref="BF28:BG28" si="33">+BF10+BF11</f>
        <v>22725.893537330521</v>
      </c>
      <c r="BG28" s="1">
        <f t="shared" si="33"/>
        <v>27478.670907520729</v>
      </c>
      <c r="BH28" s="1">
        <f t="shared" ref="BH28:BJ28" si="34">+BH10+BH11</f>
        <v>26091.841597265688</v>
      </c>
      <c r="BI28" s="1">
        <f t="shared" si="34"/>
        <v>27594.702799996772</v>
      </c>
      <c r="BJ28" s="1">
        <f t="shared" si="34"/>
        <v>25593.040783143198</v>
      </c>
      <c r="BK28" s="1">
        <f t="shared" ref="BK28:BL28" si="35">+BK10+BK11</f>
        <v>19769.233933058094</v>
      </c>
      <c r="BL28" s="1">
        <f t="shared" si="35"/>
        <v>17034.824233242784</v>
      </c>
      <c r="BM28" s="1">
        <f t="shared" ref="BM28" si="36">+BM10+BM11</f>
        <v>15804.604000000001</v>
      </c>
      <c r="BN28" s="1">
        <f t="shared" ref="BN28:BP28" si="37">+BN10+BN11</f>
        <v>12729.963742186865</v>
      </c>
      <c r="BO28" s="1">
        <f t="shared" si="37"/>
        <v>17140.425769995112</v>
      </c>
      <c r="BP28" s="1">
        <f t="shared" si="37"/>
        <v>21021.674528880394</v>
      </c>
      <c r="BQ28" s="1">
        <f t="shared" ref="BQ28:BR28" si="38">+BQ10+BQ11</f>
        <v>22298.340759326788</v>
      </c>
      <c r="BR28" s="1">
        <f t="shared" si="38"/>
        <v>31110.553680903457</v>
      </c>
      <c r="BS28" s="1">
        <f t="shared" ref="BS28:BT28" si="39">+BS10+BS11</f>
        <v>29441.531051678401</v>
      </c>
      <c r="BT28" s="1">
        <f t="shared" si="39"/>
        <v>30252.492182821949</v>
      </c>
      <c r="BU28" s="1">
        <f t="shared" ref="BU28:BV28" si="40">+BU10+BU11</f>
        <v>28207.032864823715</v>
      </c>
      <c r="BV28" s="1">
        <f t="shared" si="40"/>
        <v>20942.513928859567</v>
      </c>
      <c r="BW28" s="1">
        <f t="shared" ref="BW28:BX28" si="41">+BW10+BW11</f>
        <v>27833.408598235765</v>
      </c>
      <c r="BX28" s="1">
        <f t="shared" si="41"/>
        <v>18314</v>
      </c>
      <c r="BY28" s="1">
        <f t="shared" ref="BY28:BZ28" si="42">+BY10+BY11</f>
        <v>22020.646023931135</v>
      </c>
      <c r="BZ28" s="1">
        <f t="shared" si="42"/>
        <v>19946.751158777006</v>
      </c>
      <c r="CA28" s="1">
        <f t="shared" ref="CA28:CB28" si="43">+CA10+CA11</f>
        <v>18428.322606124868</v>
      </c>
      <c r="CB28" s="1">
        <f t="shared" si="43"/>
        <v>16947.166270156453</v>
      </c>
      <c r="CC28" s="1">
        <v>23832.544999482416</v>
      </c>
      <c r="CD28" s="1">
        <v>29843.323182743065</v>
      </c>
      <c r="CE28" s="1">
        <v>28108.525785623024</v>
      </c>
      <c r="CF28" s="1">
        <v>28686.544132719981</v>
      </c>
      <c r="CG28" s="1">
        <v>27384.585660455159</v>
      </c>
      <c r="CH28" s="1">
        <v>27384.585660455159</v>
      </c>
      <c r="CI28" s="1">
        <v>21922.347328357289</v>
      </c>
      <c r="CJ28" s="1">
        <v>15583.660277155484</v>
      </c>
      <c r="CK28" s="1">
        <v>18380.296525310208</v>
      </c>
      <c r="CL28" s="1">
        <v>19217.033979392538</v>
      </c>
      <c r="CM28" s="1">
        <v>17118.029350667952</v>
      </c>
      <c r="CN28" s="1">
        <v>18805.693893716132</v>
      </c>
      <c r="CO28" s="1">
        <v>21758.714332393538</v>
      </c>
      <c r="CP28" s="1">
        <v>26598.942161193285</v>
      </c>
      <c r="CQ28" s="1">
        <v>27328.934445251653</v>
      </c>
      <c r="CR28" s="1">
        <v>25876.9281731337</v>
      </c>
      <c r="CS28" s="1">
        <v>26768.97265341381</v>
      </c>
      <c r="CT28" s="1">
        <v>24771.770839153112</v>
      </c>
      <c r="CU28" s="1">
        <v>22803.07229295552</v>
      </c>
      <c r="CV28" s="1">
        <v>10807.819389094955</v>
      </c>
      <c r="CW28" s="1">
        <v>9252.2721885773772</v>
      </c>
      <c r="CX28" s="1">
        <v>11366.83222870994</v>
      </c>
      <c r="CY28" s="1">
        <v>14404.579595434161</v>
      </c>
      <c r="CZ28" s="1">
        <v>16553.94100953122</v>
      </c>
      <c r="DA28" s="1">
        <v>17392.119645949999</v>
      </c>
      <c r="DB28" s="32">
        <v>22002.727573689677</v>
      </c>
      <c r="DC28" s="1">
        <v>25255.092048370567</v>
      </c>
      <c r="DD28" s="1">
        <v>26846</v>
      </c>
      <c r="DE28" s="25">
        <v>21614.907386069935</v>
      </c>
      <c r="DF28" s="25">
        <v>19699.996974043454</v>
      </c>
      <c r="DG28" s="29">
        <v>16310.720707083452</v>
      </c>
      <c r="DH28" s="29">
        <v>10911.691386904347</v>
      </c>
      <c r="DI28" s="29">
        <v>10805</v>
      </c>
      <c r="DJ28" s="32">
        <v>11885.415549367517</v>
      </c>
      <c r="DK28" s="32">
        <v>16419</v>
      </c>
      <c r="DL28" s="32">
        <v>16219.883011733589</v>
      </c>
      <c r="DM28" s="32">
        <v>16625</v>
      </c>
      <c r="DN28" s="32">
        <v>18737.180061446248</v>
      </c>
      <c r="DO28" s="32">
        <v>19491</v>
      </c>
      <c r="DP28" s="32">
        <v>23775</v>
      </c>
      <c r="DQ28" s="32">
        <v>23498</v>
      </c>
      <c r="DR28" s="32">
        <v>24680.854176488865</v>
      </c>
      <c r="DS28" s="32">
        <v>17333.332399309635</v>
      </c>
      <c r="DT28" s="36">
        <v>10532.387733416577</v>
      </c>
      <c r="DU28" s="36">
        <v>14896</v>
      </c>
      <c r="DV28" s="39">
        <v>9173.3934582045331</v>
      </c>
      <c r="DW28" s="39">
        <f t="shared" ref="DW28:DX28" si="44">+DW10+DW11</f>
        <v>15112.56343258356</v>
      </c>
      <c r="DX28" s="39">
        <f t="shared" si="44"/>
        <v>18973.376182015909</v>
      </c>
      <c r="DY28" s="43">
        <v>23036.238595146224</v>
      </c>
      <c r="DZ28" s="43">
        <v>21673</v>
      </c>
      <c r="EA28" s="43">
        <v>30789</v>
      </c>
      <c r="EB28" s="47">
        <v>29372.664779999996</v>
      </c>
      <c r="EC28" s="47">
        <v>21240.180587237097</v>
      </c>
      <c r="ED28" s="47">
        <v>31329.74</v>
      </c>
      <c r="EE28" s="47">
        <f t="shared" ref="EE28:EJ28" si="45">+EE10+EE11</f>
        <v>18974.95708</v>
      </c>
      <c r="EF28" s="47">
        <f t="shared" si="45"/>
        <v>15092.120430000001</v>
      </c>
      <c r="EG28" s="47">
        <f t="shared" si="45"/>
        <v>14851</v>
      </c>
      <c r="EH28" s="47">
        <f t="shared" si="45"/>
        <v>13720</v>
      </c>
      <c r="EI28" s="47">
        <f t="shared" si="45"/>
        <v>18081.712416051047</v>
      </c>
      <c r="EJ28" s="47">
        <f t="shared" si="45"/>
        <v>16567</v>
      </c>
      <c r="EK28" s="47">
        <f t="shared" ref="EK28:EL28" si="46">+EK10+EK11</f>
        <v>21313.116577573572</v>
      </c>
      <c r="EL28" s="47">
        <f t="shared" si="46"/>
        <v>24548.035044482549</v>
      </c>
    </row>
    <row r="29" spans="2:142">
      <c r="B29" s="14" t="s">
        <v>4</v>
      </c>
      <c r="C29" s="1">
        <f t="shared" ref="C29:N29" si="47">+C13+C14+C15+C16+C17</f>
        <v>29960.814000000002</v>
      </c>
      <c r="D29" s="1">
        <f t="shared" si="47"/>
        <v>27059.342000000001</v>
      </c>
      <c r="E29" s="1">
        <f t="shared" si="47"/>
        <v>29618.54</v>
      </c>
      <c r="F29" s="1">
        <f t="shared" si="47"/>
        <v>30555.444999999996</v>
      </c>
      <c r="G29" s="1">
        <f t="shared" si="47"/>
        <v>31968.536999999997</v>
      </c>
      <c r="H29" s="1">
        <f t="shared" si="47"/>
        <v>33578.788</v>
      </c>
      <c r="I29" s="1">
        <f t="shared" si="47"/>
        <v>33306.482000000004</v>
      </c>
      <c r="J29" s="1">
        <f t="shared" si="47"/>
        <v>37112.420000000006</v>
      </c>
      <c r="K29" s="1">
        <f t="shared" si="47"/>
        <v>37591.864000000001</v>
      </c>
      <c r="L29" s="1">
        <f t="shared" si="47"/>
        <v>35667.555</v>
      </c>
      <c r="M29" s="1">
        <f t="shared" si="47"/>
        <v>30734.238999999998</v>
      </c>
      <c r="N29" s="1">
        <f t="shared" si="47"/>
        <v>30513.913</v>
      </c>
      <c r="O29" s="1">
        <f t="shared" ref="O29:AG29" si="48">+O13+O14+O15+O16+O17</f>
        <v>27131.154999999999</v>
      </c>
      <c r="P29" s="1">
        <f t="shared" si="48"/>
        <v>27586.954000000002</v>
      </c>
      <c r="Q29" s="1">
        <f t="shared" si="48"/>
        <v>30759.904999999999</v>
      </c>
      <c r="R29" s="1">
        <f t="shared" si="48"/>
        <v>27641.25</v>
      </c>
      <c r="S29" s="1">
        <f t="shared" si="48"/>
        <v>29548.411000000004</v>
      </c>
      <c r="T29" s="1">
        <f t="shared" si="48"/>
        <v>32301.561000000002</v>
      </c>
      <c r="U29" s="1">
        <f t="shared" si="48"/>
        <v>36377.509812935692</v>
      </c>
      <c r="V29" s="1">
        <f t="shared" si="48"/>
        <v>37939.831670257488</v>
      </c>
      <c r="W29" s="1">
        <f t="shared" si="48"/>
        <v>38725.71769364996</v>
      </c>
      <c r="X29" s="1">
        <f t="shared" si="48"/>
        <v>35169.009133819076</v>
      </c>
      <c r="Y29" s="1">
        <f t="shared" si="48"/>
        <v>35835.504786877769</v>
      </c>
      <c r="Z29" s="1">
        <f t="shared" si="48"/>
        <v>34643.500112569251</v>
      </c>
      <c r="AA29" s="1">
        <f t="shared" si="48"/>
        <v>32287.918477011517</v>
      </c>
      <c r="AB29" s="1">
        <f t="shared" si="48"/>
        <v>26399.438810341722</v>
      </c>
      <c r="AC29" s="1">
        <f t="shared" si="48"/>
        <v>34832.227592780037</v>
      </c>
      <c r="AD29" s="1">
        <f t="shared" si="48"/>
        <v>30832.221960012786</v>
      </c>
      <c r="AE29" s="1">
        <f t="shared" si="48"/>
        <v>39038.593224873686</v>
      </c>
      <c r="AF29" s="1">
        <f t="shared" si="48"/>
        <v>35882.285164308691</v>
      </c>
      <c r="AG29" s="1">
        <f t="shared" si="48"/>
        <v>36464.780061277677</v>
      </c>
      <c r="AH29" s="1">
        <f t="shared" ref="AH29:AN29" si="49">+AH13+AH14+AH15+AH16+AH17</f>
        <v>34764.644120870369</v>
      </c>
      <c r="AI29" s="1">
        <f t="shared" si="49"/>
        <v>35099.757312579255</v>
      </c>
      <c r="AJ29" s="1">
        <f t="shared" si="49"/>
        <v>33429.059363579763</v>
      </c>
      <c r="AK29" s="1">
        <f t="shared" si="49"/>
        <v>36105.045467251934</v>
      </c>
      <c r="AL29" s="1">
        <f t="shared" si="49"/>
        <v>32992.134149421981</v>
      </c>
      <c r="AM29" s="1">
        <f t="shared" si="49"/>
        <v>35647.150442172344</v>
      </c>
      <c r="AN29" s="1">
        <f t="shared" si="49"/>
        <v>31884.083552061209</v>
      </c>
      <c r="AO29" s="1">
        <f t="shared" ref="AO29:AQ29" si="50">+AO13+AO14+AO15+AO16+AO17</f>
        <v>38790.84386711556</v>
      </c>
      <c r="AP29" s="1">
        <f t="shared" si="50"/>
        <v>38115.706746745222</v>
      </c>
      <c r="AQ29" s="1">
        <f t="shared" si="50"/>
        <v>40654.54890620472</v>
      </c>
      <c r="AR29" s="1">
        <f t="shared" ref="AR29:AS29" si="51">+AR13+AR14+AR15+AR16+AR17</f>
        <v>36701.939671335465</v>
      </c>
      <c r="AS29" s="1">
        <f t="shared" si="51"/>
        <v>37027.155251614124</v>
      </c>
      <c r="AT29" s="1">
        <f t="shared" ref="AT29:AU29" si="52">+AT13+AT14+AT15+AT16+AT17</f>
        <v>37559.725738486355</v>
      </c>
      <c r="AU29" s="1">
        <f t="shared" si="52"/>
        <v>36659.225683897101</v>
      </c>
      <c r="AV29" s="1">
        <f t="shared" ref="AV29:AW29" si="53">+AV13+AV14+AV15+AV16+AV17</f>
        <v>40318.990358773197</v>
      </c>
      <c r="AW29" s="1">
        <f t="shared" si="53"/>
        <v>35506.300931586084</v>
      </c>
      <c r="AX29" s="1">
        <f t="shared" ref="AX29:AY29" si="54">+AX13+AX14+AX15+AX16+AX17</f>
        <v>35262.402550381565</v>
      </c>
      <c r="AY29" s="1">
        <f t="shared" si="54"/>
        <v>34790.309460246746</v>
      </c>
      <c r="AZ29" s="1">
        <f t="shared" ref="AZ29:BA29" si="55">+AZ13+AZ14+AZ15+AZ16+AZ17</f>
        <v>31682.331375597492</v>
      </c>
      <c r="BA29" s="1">
        <f t="shared" si="55"/>
        <v>36475.994924889099</v>
      </c>
      <c r="BB29" s="1">
        <f t="shared" ref="BB29:BC29" si="56">+BB13+BB14+BB15+BB16+BB17</f>
        <v>35834.015244383467</v>
      </c>
      <c r="BC29" s="1">
        <f t="shared" si="56"/>
        <v>38395.529865860823</v>
      </c>
      <c r="BD29" s="1">
        <f t="shared" ref="BD29:BE29" si="57">+BD13+BD14+BD15+BD16+BD17</f>
        <v>36608.726987789443</v>
      </c>
      <c r="BE29" s="1">
        <f t="shared" si="57"/>
        <v>38748.853112407407</v>
      </c>
      <c r="BF29" s="1">
        <f t="shared" ref="BF29:BG29" si="58">+BF13+BF14+BF15+BF16+BF17</f>
        <v>38715.1186604295</v>
      </c>
      <c r="BG29" s="1">
        <f t="shared" si="58"/>
        <v>35448.78729410602</v>
      </c>
      <c r="BH29" s="1">
        <f t="shared" ref="BH29:BJ29" si="59">+BH13+BH14+BH15+BH16+BH17</f>
        <v>38055.556630144958</v>
      </c>
      <c r="BI29" s="1">
        <f t="shared" si="59"/>
        <v>32673.384665603182</v>
      </c>
      <c r="BJ29" s="1">
        <f t="shared" si="59"/>
        <v>31982.012921383666</v>
      </c>
      <c r="BK29" s="1">
        <f t="shared" ref="BK29:BL29" si="60">+BK13+BK14+BK15+BK16+BK17</f>
        <v>34699.126064964759</v>
      </c>
      <c r="BL29" s="1">
        <f t="shared" si="60"/>
        <v>31942.530110280666</v>
      </c>
      <c r="BM29" s="1">
        <f t="shared" ref="BM29" si="61">+BM13+BM14+BM15+BM16+BM17</f>
        <v>31529.800000000003</v>
      </c>
      <c r="BN29" s="1">
        <f t="shared" ref="BN29:BP29" si="62">+BN13+BN14+BN15+BN16+BN17</f>
        <v>35310.254081576226</v>
      </c>
      <c r="BO29" s="1">
        <f t="shared" si="62"/>
        <v>30954.586848300711</v>
      </c>
      <c r="BP29" s="1">
        <f t="shared" si="62"/>
        <v>34066.44478595379</v>
      </c>
      <c r="BQ29" s="1">
        <f t="shared" ref="BQ29:BR29" si="63">+BQ13+BQ14+BQ15+BQ16+BQ17</f>
        <v>35160.213550946362</v>
      </c>
      <c r="BR29" s="1">
        <f t="shared" si="63"/>
        <v>36938.986249194699</v>
      </c>
      <c r="BS29" s="1">
        <f t="shared" ref="BS29:BT29" si="64">+BS13+BS14+BS15+BS16+BS17</f>
        <v>38156.645000091572</v>
      </c>
      <c r="BT29" s="1">
        <f t="shared" si="64"/>
        <v>38547.002762208205</v>
      </c>
      <c r="BU29" s="1">
        <f t="shared" ref="BU29:BV29" si="65">+BU13+BU14+BU15+BU16+BU17</f>
        <v>35658.335465607975</v>
      </c>
      <c r="BV29" s="1">
        <f t="shared" si="65"/>
        <v>37686.331542194428</v>
      </c>
      <c r="BW29" s="1">
        <f t="shared" ref="BW29:BX29" si="66">+BW13+BW14+BW15+BW16+BW17</f>
        <v>38099.06497414795</v>
      </c>
      <c r="BX29" s="1">
        <f t="shared" si="66"/>
        <v>32360</v>
      </c>
      <c r="BY29" s="1">
        <f t="shared" ref="BY29:BZ29" si="67">+BY13+BY14+BY15+BY16+BY17</f>
        <v>33849.782486886215</v>
      </c>
      <c r="BZ29" s="1">
        <f t="shared" si="67"/>
        <v>40744.580604941235</v>
      </c>
      <c r="CA29" s="1">
        <f t="shared" ref="CA29:CB29" si="68">+CA13+CA14+CA15+CA16+CA17</f>
        <v>37289.320022717904</v>
      </c>
      <c r="CB29" s="1">
        <f t="shared" si="68"/>
        <v>40294.362425330051</v>
      </c>
      <c r="CC29" s="1">
        <v>40322.373336680772</v>
      </c>
      <c r="CD29" s="1">
        <f>SUM(CD13:CD17)</f>
        <v>41342.541585278828</v>
      </c>
      <c r="CE29" s="1">
        <v>40370.099002369869</v>
      </c>
      <c r="CF29" s="1">
        <v>40854.379064266432</v>
      </c>
      <c r="CG29" s="1">
        <v>37095.906530395776</v>
      </c>
      <c r="CH29" s="1">
        <v>37550.543073792112</v>
      </c>
      <c r="CI29" s="1">
        <v>31925.123456712477</v>
      </c>
      <c r="CJ29" s="1">
        <v>32381.674694663507</v>
      </c>
      <c r="CK29" s="1">
        <v>36601.166490129872</v>
      </c>
      <c r="CL29" s="1">
        <v>38297.163366122928</v>
      </c>
      <c r="CM29" s="1">
        <v>37258.374862766606</v>
      </c>
      <c r="CN29" s="1">
        <v>38155.582680368403</v>
      </c>
      <c r="CO29" s="1">
        <v>43372.976776744676</v>
      </c>
      <c r="CP29" s="1">
        <v>40076.519928248825</v>
      </c>
      <c r="CQ29" s="1">
        <v>42099.677149436939</v>
      </c>
      <c r="CR29" s="1">
        <v>41710.932913395241</v>
      </c>
      <c r="CS29" s="1">
        <v>38732.665913597804</v>
      </c>
      <c r="CT29" s="1">
        <v>39611.513739250993</v>
      </c>
      <c r="CU29" s="1">
        <v>35719.605587960272</v>
      </c>
      <c r="CV29" s="1">
        <v>33164.6265917196</v>
      </c>
      <c r="CW29" s="1">
        <v>38581.860531390375</v>
      </c>
      <c r="CX29" s="1">
        <v>39583.619146281133</v>
      </c>
      <c r="CY29" s="1">
        <v>41491.109547162858</v>
      </c>
      <c r="CZ29" s="1">
        <v>40722.209689248863</v>
      </c>
      <c r="DA29" s="1">
        <v>42674.92455530072</v>
      </c>
      <c r="DB29" s="32">
        <v>39916.086358947818</v>
      </c>
      <c r="DC29" s="1">
        <v>41620.873551897064</v>
      </c>
      <c r="DD29" s="1">
        <v>42836</v>
      </c>
      <c r="DE29" s="25">
        <v>40084.540674373027</v>
      </c>
      <c r="DF29" s="25">
        <v>41040.380616307542</v>
      </c>
      <c r="DG29" s="29">
        <v>30287.102754604311</v>
      </c>
      <c r="DH29" s="29">
        <v>32563.833359844175</v>
      </c>
      <c r="DI29" s="29">
        <v>40830</v>
      </c>
      <c r="DJ29" s="32">
        <v>35229.242280412909</v>
      </c>
      <c r="DK29" s="32">
        <v>38493</v>
      </c>
      <c r="DL29" s="32">
        <v>37167.703207864331</v>
      </c>
      <c r="DM29" s="32">
        <v>41521</v>
      </c>
      <c r="DN29" s="32">
        <v>41758.853455714285</v>
      </c>
      <c r="DO29" s="32">
        <v>41092</v>
      </c>
      <c r="DP29" s="32">
        <v>44044</v>
      </c>
      <c r="DQ29" s="32">
        <v>37637</v>
      </c>
      <c r="DR29" s="32">
        <v>40378.741302233007</v>
      </c>
      <c r="DS29" s="32">
        <v>36562.108896612452</v>
      </c>
      <c r="DT29" s="36">
        <v>35009.412190999195</v>
      </c>
      <c r="DU29" s="36">
        <v>38226</v>
      </c>
      <c r="DV29" s="39">
        <v>39417.53187728201</v>
      </c>
      <c r="DW29" s="39">
        <f t="shared" ref="DW29:DX29" si="69">+DW13+DW14+DW15+DW16+DW17</f>
        <v>40877.870824898695</v>
      </c>
      <c r="DX29" s="39">
        <f t="shared" si="69"/>
        <v>40434.28256645074</v>
      </c>
      <c r="DY29" s="43">
        <v>42288.333356441588</v>
      </c>
      <c r="DZ29" s="43">
        <v>42251</v>
      </c>
      <c r="EA29" s="43">
        <v>41107</v>
      </c>
      <c r="EB29" s="47">
        <v>55249.408266281767</v>
      </c>
      <c r="EC29" s="47">
        <v>33734.987534314561</v>
      </c>
      <c r="ED29" s="47">
        <v>35019.739000000001</v>
      </c>
      <c r="EE29" s="47">
        <f t="shared" ref="EE29:EJ29" si="70">+EE13+EE14+EE15+EE16+EE17</f>
        <v>38527.502841399997</v>
      </c>
      <c r="EF29" s="47">
        <f t="shared" si="70"/>
        <v>34814.701130861737</v>
      </c>
      <c r="EG29" s="47">
        <f t="shared" si="70"/>
        <v>39714</v>
      </c>
      <c r="EH29" s="47">
        <f t="shared" si="70"/>
        <v>38918.704095770961</v>
      </c>
      <c r="EI29" s="47">
        <f t="shared" si="70"/>
        <v>40888.904796874478</v>
      </c>
      <c r="EJ29" s="47">
        <f t="shared" si="70"/>
        <v>41262.857033367429</v>
      </c>
      <c r="EK29" s="47">
        <f t="shared" ref="EK29:EL29" si="71">+EK13+EK14+EK15+EK16+EK17</f>
        <v>45645.887008476006</v>
      </c>
      <c r="EL29" s="47">
        <f t="shared" si="71"/>
        <v>44620.539709999997</v>
      </c>
    </row>
    <row r="30" spans="2:142">
      <c r="B30" s="11" t="s">
        <v>5</v>
      </c>
      <c r="C30" s="1">
        <f>+C19+C20+C22+C23+C24</f>
        <v>62957.668999999994</v>
      </c>
      <c r="D30" s="1">
        <f t="shared" ref="D30:AL30" si="72">+D19+D20+D22+D23+D24</f>
        <v>57285.695</v>
      </c>
      <c r="E30" s="1">
        <f t="shared" si="72"/>
        <v>58103.648999999998</v>
      </c>
      <c r="F30" s="1">
        <f t="shared" si="72"/>
        <v>54403.442999999999</v>
      </c>
      <c r="G30" s="1">
        <f t="shared" si="72"/>
        <v>46582.884000000005</v>
      </c>
      <c r="H30" s="1">
        <f t="shared" si="72"/>
        <v>49641.168000000005</v>
      </c>
      <c r="I30" s="1">
        <f t="shared" si="72"/>
        <v>49222.348999999995</v>
      </c>
      <c r="J30" s="1">
        <f t="shared" si="72"/>
        <v>54110.608000000007</v>
      </c>
      <c r="K30" s="1">
        <f t="shared" si="72"/>
        <v>57856.614999999998</v>
      </c>
      <c r="L30" s="1">
        <f t="shared" si="72"/>
        <v>61618.585000000006</v>
      </c>
      <c r="M30" s="1">
        <f t="shared" si="72"/>
        <v>60838.118999999999</v>
      </c>
      <c r="N30" s="1">
        <f t="shared" si="72"/>
        <v>64184.631999999998</v>
      </c>
      <c r="O30" s="1">
        <f t="shared" si="72"/>
        <v>64320.951999999997</v>
      </c>
      <c r="P30" s="1">
        <f t="shared" si="72"/>
        <v>61045.389000000003</v>
      </c>
      <c r="Q30" s="1">
        <f t="shared" si="72"/>
        <v>60020.610999999997</v>
      </c>
      <c r="R30" s="1">
        <f t="shared" si="72"/>
        <v>48372.84</v>
      </c>
      <c r="S30" s="1">
        <f t="shared" si="72"/>
        <v>45466.877999999997</v>
      </c>
      <c r="T30" s="1">
        <f t="shared" si="72"/>
        <v>44428.336000000003</v>
      </c>
      <c r="U30" s="1">
        <f t="shared" si="72"/>
        <v>47296.785468237569</v>
      </c>
      <c r="V30" s="1">
        <f t="shared" si="72"/>
        <v>52108.563256809022</v>
      </c>
      <c r="W30" s="1">
        <f t="shared" si="72"/>
        <v>52448.762704000001</v>
      </c>
      <c r="X30" s="1">
        <f t="shared" si="72"/>
        <v>53505.986245471955</v>
      </c>
      <c r="Y30" s="1">
        <f t="shared" si="72"/>
        <v>64707.113449891978</v>
      </c>
      <c r="Z30" s="1">
        <f t="shared" si="72"/>
        <v>66085.093601882385</v>
      </c>
      <c r="AA30" s="1">
        <f t="shared" si="72"/>
        <v>59922.040198677882</v>
      </c>
      <c r="AB30" s="1">
        <f t="shared" si="72"/>
        <v>50325.114655398138</v>
      </c>
      <c r="AC30" s="1">
        <f t="shared" si="72"/>
        <v>59951.259556494573</v>
      </c>
      <c r="AD30" s="1">
        <f t="shared" si="72"/>
        <v>47505.057885040544</v>
      </c>
      <c r="AE30" s="1">
        <f t="shared" si="72"/>
        <v>46594.690202107959</v>
      </c>
      <c r="AF30" s="1">
        <f t="shared" si="72"/>
        <v>44635.692249004511</v>
      </c>
      <c r="AG30" s="1">
        <f t="shared" si="72"/>
        <v>45301.730331074308</v>
      </c>
      <c r="AH30" s="1">
        <f t="shared" si="72"/>
        <v>56290.059654609155</v>
      </c>
      <c r="AI30" s="1">
        <f t="shared" si="72"/>
        <v>53599.837303898254</v>
      </c>
      <c r="AJ30" s="1">
        <f t="shared" si="72"/>
        <v>58430.812271890274</v>
      </c>
      <c r="AK30" s="1">
        <f t="shared" si="72"/>
        <v>61542.405466618889</v>
      </c>
      <c r="AL30" s="1">
        <f t="shared" si="72"/>
        <v>57353.113110514787</v>
      </c>
      <c r="AM30" s="1">
        <f t="shared" ref="AM30:AN30" si="73">+AM19+AM20+AM22+AM23+AM24</f>
        <v>62266.090176862665</v>
      </c>
      <c r="AN30" s="1">
        <f t="shared" si="73"/>
        <v>55264.836295617773</v>
      </c>
      <c r="AO30" s="1">
        <f t="shared" ref="AO30:AQ30" si="74">+AO19+AO20+AO22+AO23+AO24</f>
        <v>61497.600409047809</v>
      </c>
      <c r="AP30" s="1">
        <f t="shared" si="74"/>
        <v>48130.280514459242</v>
      </c>
      <c r="AQ30" s="1">
        <f t="shared" si="74"/>
        <v>51343.991213494999</v>
      </c>
      <c r="AR30" s="1">
        <f t="shared" ref="AR30:AS30" si="75">+AR19+AR20+AR22+AR23+AR24</f>
        <v>38892.758961239611</v>
      </c>
      <c r="AS30" s="1">
        <f t="shared" si="75"/>
        <v>45911.022254493888</v>
      </c>
      <c r="AT30" s="1">
        <f t="shared" ref="AT30:AU30" si="76">+AT19+AT20+AT22+AT23+AT24</f>
        <v>50624.847118710066</v>
      </c>
      <c r="AU30" s="1">
        <f t="shared" si="76"/>
        <v>49205.626181289146</v>
      </c>
      <c r="AV30" s="1">
        <f t="shared" ref="AV30:AW30" si="77">+AV19+AV20+AV22+AV23+AV24</f>
        <v>57295.942978585837</v>
      </c>
      <c r="AW30" s="1">
        <f t="shared" si="77"/>
        <v>56187.251080604125</v>
      </c>
      <c r="AX30" s="1">
        <f t="shared" ref="AX30:AY30" si="78">+AX19+AX20+AX22+AX23+AX24</f>
        <v>51286.396394239622</v>
      </c>
      <c r="AY30" s="1">
        <f t="shared" si="78"/>
        <v>54183.833307545938</v>
      </c>
      <c r="AZ30" s="1">
        <f t="shared" ref="AZ30:BA30" si="79">+AZ19+AZ20+AZ22+AZ23+AZ24</f>
        <v>53155.707146626635</v>
      </c>
      <c r="BA30" s="1">
        <f t="shared" si="79"/>
        <v>47160.268909702034</v>
      </c>
      <c r="BB30" s="1">
        <f t="shared" ref="BB30:BC30" si="80">+BB19+BB20+BB22+BB23+BB24</f>
        <v>43180.464483406584</v>
      </c>
      <c r="BC30" s="1">
        <f t="shared" si="80"/>
        <v>44409.869096479131</v>
      </c>
      <c r="BD30" s="1">
        <f t="shared" ref="BD30:BE30" si="81">+BD19+BD20+BD22+BD23+BD24</f>
        <v>36372.362463960359</v>
      </c>
      <c r="BE30" s="1">
        <f t="shared" si="81"/>
        <v>42672.770273433198</v>
      </c>
      <c r="BF30" s="1">
        <f t="shared" ref="BF30:BG30" si="82">+BF19+BF20+BF22+BF23+BF24</f>
        <v>44068.554468448361</v>
      </c>
      <c r="BG30" s="1">
        <f t="shared" si="82"/>
        <v>47233.229139450872</v>
      </c>
      <c r="BH30" s="1">
        <f t="shared" ref="BH30:BJ30" si="83">+BH19+BH20+BH22+BH23+BH24</f>
        <v>52991.066983858749</v>
      </c>
      <c r="BI30" s="1">
        <f t="shared" si="83"/>
        <v>52987.948380142698</v>
      </c>
      <c r="BJ30" s="1">
        <f t="shared" si="83"/>
        <v>49389.253389236997</v>
      </c>
      <c r="BK30" s="1">
        <f t="shared" ref="BK30:BL30" si="84">+BK19+BK20+BK22+BK23+BK24</f>
        <v>51177.798658437066</v>
      </c>
      <c r="BL30" s="1">
        <f t="shared" si="84"/>
        <v>49012.794544605189</v>
      </c>
      <c r="BM30" s="1">
        <f t="shared" ref="BM30" si="85">+BM19+BM20+BM22+BM23+BM24</f>
        <v>49410.829000000005</v>
      </c>
      <c r="BN30" s="1">
        <f t="shared" ref="BN30:BP30" si="86">+BN19+BN20+BN22+BN23+BN24</f>
        <v>48202.285119199994</v>
      </c>
      <c r="BO30" s="1">
        <f t="shared" si="86"/>
        <v>44820.616975000201</v>
      </c>
      <c r="BP30" s="1">
        <f t="shared" si="86"/>
        <v>43702.223508264258</v>
      </c>
      <c r="BQ30" s="1">
        <f t="shared" ref="BQ30:BR30" si="87">+BQ19+BQ20+BQ22+BQ23+BQ24</f>
        <v>44604.760816818671</v>
      </c>
      <c r="BR30" s="1">
        <f t="shared" si="87"/>
        <v>44569.628841426282</v>
      </c>
      <c r="BS30" s="1">
        <f t="shared" ref="BS30:BT30" si="88">+BS19+BS20+BS22+BS23+BS24</f>
        <v>50244.240632122499</v>
      </c>
      <c r="BT30" s="1">
        <f t="shared" si="88"/>
        <v>54003.574867301759</v>
      </c>
      <c r="BU30" s="1">
        <f t="shared" ref="BU30:BV30" si="89">+BU19+BU20+BU22+BU23+BU24</f>
        <v>50429.178188092832</v>
      </c>
      <c r="BV30" s="1">
        <f t="shared" si="89"/>
        <v>55030.534043967476</v>
      </c>
      <c r="BW30" s="1">
        <f t="shared" ref="BW30:BX30" si="90">+BW19+BW20+BW22+BW23+BW24</f>
        <v>50937.670937106974</v>
      </c>
      <c r="BX30" s="1">
        <f t="shared" si="90"/>
        <v>46123</v>
      </c>
      <c r="BY30" s="1">
        <f t="shared" ref="BY30:BZ30" si="91">+BY19+BY20+BY22+BY23+BY24</f>
        <v>54005.31834570707</v>
      </c>
      <c r="BZ30" s="1">
        <f t="shared" si="91"/>
        <v>41854.857241393111</v>
      </c>
      <c r="CA30" s="1">
        <f t="shared" ref="CA30:CB30" si="92">+CA19+CA20+CA22+CA23+CA24</f>
        <v>34724.347893026177</v>
      </c>
      <c r="CB30" s="1">
        <f t="shared" si="92"/>
        <v>41654.508217748582</v>
      </c>
      <c r="CC30" s="1">
        <v>41343.131192780587</v>
      </c>
      <c r="CD30" s="1">
        <v>47109.469478947511</v>
      </c>
      <c r="CE30" s="1">
        <v>50021.309914516154</v>
      </c>
      <c r="CF30" s="1">
        <v>46419.846688713413</v>
      </c>
      <c r="CG30" s="1">
        <v>51250.00227247343</v>
      </c>
      <c r="CH30" s="1">
        <v>52702.093457510768</v>
      </c>
      <c r="CI30" s="1">
        <v>53099.462839847969</v>
      </c>
      <c r="CJ30" s="1">
        <v>51757.214467780657</v>
      </c>
      <c r="CK30" s="1">
        <v>51757.214467780657</v>
      </c>
      <c r="CL30" s="1">
        <v>47454.834377166568</v>
      </c>
      <c r="CM30" s="1">
        <v>44144.118762332226</v>
      </c>
      <c r="CN30" s="1">
        <v>38859.748659174569</v>
      </c>
      <c r="CO30" s="1">
        <v>51347.739943726156</v>
      </c>
      <c r="CP30" s="1">
        <v>40568.209943697038</v>
      </c>
      <c r="CQ30" s="1">
        <v>49957.069415342601</v>
      </c>
      <c r="CR30" s="1">
        <v>44838.982247233645</v>
      </c>
      <c r="CS30" s="1">
        <v>54685.945299608051</v>
      </c>
      <c r="CT30" s="1">
        <v>57431.016763938249</v>
      </c>
      <c r="CU30" s="1">
        <v>52398.168433682469</v>
      </c>
      <c r="CV30" s="1">
        <v>52934.869208530683</v>
      </c>
      <c r="CW30" s="1">
        <v>57533.899124693089</v>
      </c>
      <c r="CX30" s="1">
        <v>41701.655290247712</v>
      </c>
      <c r="CY30" s="1">
        <v>42545.648643170847</v>
      </c>
      <c r="CZ30" s="1">
        <v>41521.904746938497</v>
      </c>
      <c r="DA30" s="1">
        <v>40299.873363236562</v>
      </c>
      <c r="DB30" s="32">
        <v>48553.591742019533</v>
      </c>
      <c r="DC30" s="1">
        <v>43024.650628771131</v>
      </c>
      <c r="DD30" s="1">
        <v>48332</v>
      </c>
      <c r="DE30" s="25">
        <v>53315.871585739224</v>
      </c>
      <c r="DF30" s="25">
        <v>49461.889022865878</v>
      </c>
      <c r="DG30" s="29">
        <v>38332.429468186885</v>
      </c>
      <c r="DH30" s="29">
        <v>39820.013282560656</v>
      </c>
      <c r="DI30" s="29">
        <v>45494</v>
      </c>
      <c r="DJ30" s="32">
        <v>36091.486814431162</v>
      </c>
      <c r="DK30" s="32">
        <v>36794</v>
      </c>
      <c r="DL30" s="32">
        <v>34063.796588613353</v>
      </c>
      <c r="DM30" s="32">
        <v>40240</v>
      </c>
      <c r="DN30" s="32">
        <v>43970.589719060124</v>
      </c>
      <c r="DO30" s="32">
        <v>42744</v>
      </c>
      <c r="DP30" s="32">
        <v>52226</v>
      </c>
      <c r="DQ30" s="32">
        <v>50079</v>
      </c>
      <c r="DR30" s="32">
        <v>50812.231444336205</v>
      </c>
      <c r="DS30" s="32">
        <v>51627.879643962238</v>
      </c>
      <c r="DT30" s="36">
        <v>50349.411229029669</v>
      </c>
      <c r="DU30" s="36">
        <v>48535</v>
      </c>
      <c r="DV30" s="39">
        <v>42186.070558341773</v>
      </c>
      <c r="DW30" s="39">
        <f t="shared" ref="DW30:DX30" si="93">+DW19+DW20+DW22+DW23+DW24</f>
        <v>40657.718615435057</v>
      </c>
      <c r="DX30" s="39">
        <f t="shared" si="93"/>
        <v>36778.205445188549</v>
      </c>
      <c r="DY30" s="43">
        <v>38481.966233659172</v>
      </c>
      <c r="DZ30" s="43">
        <v>42554</v>
      </c>
      <c r="EA30" s="43">
        <v>46839</v>
      </c>
      <c r="EB30" s="47">
        <v>56027.400583260409</v>
      </c>
      <c r="EC30" s="47">
        <v>48383.144042658496</v>
      </c>
      <c r="ED30" s="47">
        <v>35801.872000000003</v>
      </c>
      <c r="EE30" s="47">
        <f t="shared" ref="EE30:EJ30" si="94">+EE19+EE20+EE22+EE23+EE24</f>
        <v>52291.462799999994</v>
      </c>
      <c r="EF30" s="47">
        <f t="shared" si="94"/>
        <v>50015.799852771866</v>
      </c>
      <c r="EG30" s="47">
        <f t="shared" si="94"/>
        <v>51086</v>
      </c>
      <c r="EH30" s="47">
        <f t="shared" si="94"/>
        <v>44220.092289197819</v>
      </c>
      <c r="EI30" s="47">
        <f t="shared" si="94"/>
        <v>39421.728817985015</v>
      </c>
      <c r="EJ30" s="47">
        <f t="shared" si="94"/>
        <v>40122.174925183805</v>
      </c>
      <c r="EK30" s="47">
        <f t="shared" ref="EK30:EL30" si="95">+EK19+EK20+EK22+EK23+EK24</f>
        <v>43829.493456319004</v>
      </c>
      <c r="EL30" s="47">
        <f t="shared" si="95"/>
        <v>45796.064859999999</v>
      </c>
    </row>
    <row r="31" spans="2:142">
      <c r="B31" s="11" t="s">
        <v>22</v>
      </c>
      <c r="C31" s="1">
        <f>+C21</f>
        <v>5778.5820000000003</v>
      </c>
      <c r="D31" s="1">
        <f t="shared" ref="D31:AL31" si="96">+D21</f>
        <v>5261.6019999999999</v>
      </c>
      <c r="E31" s="1">
        <f t="shared" si="96"/>
        <v>5293.0410000000002</v>
      </c>
      <c r="F31" s="1">
        <f t="shared" si="96"/>
        <v>4894.2659999999996</v>
      </c>
      <c r="G31" s="1">
        <f t="shared" si="96"/>
        <v>4167.9480000000003</v>
      </c>
      <c r="H31" s="1">
        <f t="shared" si="96"/>
        <v>3265.2179999999998</v>
      </c>
      <c r="I31" s="1">
        <f t="shared" si="96"/>
        <v>3851.8229999999999</v>
      </c>
      <c r="J31" s="1">
        <f t="shared" si="96"/>
        <v>4933.5389999999998</v>
      </c>
      <c r="K31" s="1">
        <f t="shared" si="96"/>
        <v>5678.6570000000002</v>
      </c>
      <c r="L31" s="1">
        <f t="shared" si="96"/>
        <v>5059.9409999999998</v>
      </c>
      <c r="M31" s="1">
        <f t="shared" si="96"/>
        <v>6100.6059999999998</v>
      </c>
      <c r="N31" s="1">
        <f t="shared" si="96"/>
        <v>6035.8620000000001</v>
      </c>
      <c r="O31" s="1">
        <f t="shared" si="96"/>
        <v>5616.23</v>
      </c>
      <c r="P31" s="1">
        <f t="shared" si="96"/>
        <v>5189.134</v>
      </c>
      <c r="Q31" s="1">
        <f t="shared" si="96"/>
        <v>5582.5590000000002</v>
      </c>
      <c r="R31" s="1">
        <f t="shared" si="96"/>
        <v>3805.4949999999999</v>
      </c>
      <c r="S31" s="1">
        <f t="shared" si="96"/>
        <v>2505.6759999999999</v>
      </c>
      <c r="T31" s="1">
        <f t="shared" si="96"/>
        <v>2330.3719999999998</v>
      </c>
      <c r="U31" s="1">
        <f t="shared" si="96"/>
        <v>4566.5733479999999</v>
      </c>
      <c r="V31" s="1">
        <f t="shared" si="96"/>
        <v>3130.0104919999999</v>
      </c>
      <c r="W31" s="1">
        <f t="shared" si="96"/>
        <v>4421.1408000000001</v>
      </c>
      <c r="X31" s="1">
        <f t="shared" si="96"/>
        <v>3984.5450770000002</v>
      </c>
      <c r="Y31" s="1">
        <f t="shared" si="96"/>
        <v>5758.266584</v>
      </c>
      <c r="Z31" s="1">
        <f t="shared" si="96"/>
        <v>4968.2779399999999</v>
      </c>
      <c r="AA31" s="1">
        <f t="shared" si="96"/>
        <v>6782.9060899999995</v>
      </c>
      <c r="AB31" s="1">
        <f t="shared" si="96"/>
        <v>4605.0534860000007</v>
      </c>
      <c r="AC31" s="1">
        <f t="shared" si="96"/>
        <v>4071.5614399999999</v>
      </c>
      <c r="AD31" s="1">
        <f t="shared" si="96"/>
        <v>3620.0314260000005</v>
      </c>
      <c r="AE31" s="1">
        <f t="shared" si="96"/>
        <v>2982.1885980000002</v>
      </c>
      <c r="AF31" s="1">
        <f t="shared" si="96"/>
        <v>3675.0971880000002</v>
      </c>
      <c r="AG31" s="1">
        <f t="shared" si="96"/>
        <v>4014.835568</v>
      </c>
      <c r="AH31" s="1">
        <f t="shared" si="96"/>
        <v>3191.6889919999994</v>
      </c>
      <c r="AI31" s="1">
        <f t="shared" si="96"/>
        <v>3077.3618650000003</v>
      </c>
      <c r="AJ31" s="1">
        <f t="shared" si="96"/>
        <v>5527.0530290000006</v>
      </c>
      <c r="AK31" s="1">
        <f t="shared" si="96"/>
        <v>5764.9318519999997</v>
      </c>
      <c r="AL31" s="1">
        <f t="shared" si="96"/>
        <v>7250.7338087911512</v>
      </c>
      <c r="AM31" s="1">
        <f t="shared" ref="AM31:AN31" si="97">+AM21</f>
        <v>4921.7143039318489</v>
      </c>
      <c r="AN31" s="1">
        <f t="shared" si="97"/>
        <v>6526.0961756179258</v>
      </c>
      <c r="AO31" s="1">
        <f t="shared" ref="AO31:AQ31" si="98">+AO21</f>
        <v>5472.0239336169225</v>
      </c>
      <c r="AP31" s="1">
        <f t="shared" si="98"/>
        <v>4685.6748585753385</v>
      </c>
      <c r="AQ31" s="1">
        <f t="shared" si="98"/>
        <v>3308.7564422787941</v>
      </c>
      <c r="AR31" s="1">
        <f t="shared" ref="AR31:AS31" si="99">+AR21</f>
        <v>2094.1796462774937</v>
      </c>
      <c r="AS31" s="1">
        <f t="shared" si="99"/>
        <v>2314.1168615323313</v>
      </c>
      <c r="AT31" s="1">
        <f t="shared" ref="AT31:AU31" si="100">+AT21</f>
        <v>2348.2829736415279</v>
      </c>
      <c r="AU31" s="1">
        <f t="shared" si="100"/>
        <v>3052.5704748335352</v>
      </c>
      <c r="AV31" s="1">
        <f t="shared" ref="AV31:AW31" si="101">+AV21</f>
        <v>3426.3605680009691</v>
      </c>
      <c r="AW31" s="1">
        <f t="shared" si="101"/>
        <v>3722.0113743209299</v>
      </c>
      <c r="AX31" s="1">
        <f t="shared" ref="AX31:AY31" si="102">+AX21</f>
        <v>4288.4988995727917</v>
      </c>
      <c r="AY31" s="1">
        <f t="shared" si="102"/>
        <v>3967.7983992417371</v>
      </c>
      <c r="AZ31" s="1">
        <f t="shared" ref="AZ31:BA31" si="103">+AZ21</f>
        <v>3212.281232191624</v>
      </c>
      <c r="BA31" s="1">
        <f t="shared" si="103"/>
        <v>3458.3226028318409</v>
      </c>
      <c r="BB31" s="1">
        <f t="shared" ref="BB31:BC31" si="104">+BB21</f>
        <v>2509.786315616795</v>
      </c>
      <c r="BC31" s="1">
        <f t="shared" si="104"/>
        <v>1901.2784157125964</v>
      </c>
      <c r="BD31" s="1">
        <f t="shared" ref="BD31:BE31" si="105">+BD21</f>
        <v>1570.6262655303137</v>
      </c>
      <c r="BE31" s="1">
        <f t="shared" si="105"/>
        <v>2055.9475688186485</v>
      </c>
      <c r="BF31" s="1">
        <f t="shared" ref="BF31:BG31" si="106">+BF21</f>
        <v>2539.4326397401419</v>
      </c>
      <c r="BG31" s="1">
        <f t="shared" si="106"/>
        <v>2163.5794371751776</v>
      </c>
      <c r="BH31" s="1">
        <f t="shared" ref="BH31:BJ31" si="107">+BH21</f>
        <v>2496.501264732256</v>
      </c>
      <c r="BI31" s="1">
        <f t="shared" si="107"/>
        <v>3097.4852603840618</v>
      </c>
      <c r="BJ31" s="1">
        <f t="shared" si="107"/>
        <v>2604.3135597221049</v>
      </c>
      <c r="BK31" s="1">
        <f t="shared" ref="BK31:BL31" si="108">+BK21</f>
        <v>3245.2789261249332</v>
      </c>
      <c r="BL31" s="1">
        <f t="shared" si="108"/>
        <v>2659.2072490193023</v>
      </c>
      <c r="BM31" s="1">
        <f t="shared" ref="BM31" si="109">+BM21</f>
        <v>2052.8850000000002</v>
      </c>
      <c r="BN31" s="1">
        <f t="shared" ref="BN31:BP31" si="110">+BN21</f>
        <v>1218.21684</v>
      </c>
      <c r="BO31" s="1">
        <f t="shared" si="110"/>
        <v>1500.10117997</v>
      </c>
      <c r="BP31" s="1">
        <f t="shared" si="110"/>
        <v>1109.7420021163141</v>
      </c>
      <c r="BQ31" s="1">
        <f t="shared" ref="BQ31:BR31" si="111">+BQ21</f>
        <v>673.02323331368154</v>
      </c>
      <c r="BR31" s="1">
        <f t="shared" si="111"/>
        <v>832.25219123800002</v>
      </c>
      <c r="BS31" s="1">
        <f t="shared" ref="BS31:BT31" si="112">+BS21</f>
        <v>1967.8789787619826</v>
      </c>
      <c r="BT31" s="1">
        <f t="shared" si="112"/>
        <v>2913.5822746564709</v>
      </c>
      <c r="BU31" s="1">
        <f t="shared" ref="BU31:BV31" si="113">+BU21</f>
        <v>2100.3508816564708</v>
      </c>
      <c r="BV31" s="1">
        <f t="shared" si="113"/>
        <v>3194.8283499999998</v>
      </c>
      <c r="BW31" s="1">
        <f t="shared" ref="BW31:BX31" si="114">+BW21</f>
        <v>3475.4762880000003</v>
      </c>
      <c r="BX31" s="1">
        <f t="shared" si="114"/>
        <v>3548</v>
      </c>
      <c r="BY31" s="1">
        <f t="shared" ref="BY31:BZ31" si="115">+BY21</f>
        <v>2435.2926640000001</v>
      </c>
      <c r="BZ31" s="1">
        <f t="shared" si="115"/>
        <v>2499.9129779999998</v>
      </c>
      <c r="CA31" s="1">
        <f t="shared" ref="CA31:CB31" si="116">+CA21</f>
        <v>811.97854699999982</v>
      </c>
      <c r="CB31" s="1">
        <f t="shared" si="116"/>
        <v>1724.8200336800005</v>
      </c>
      <c r="CC31" s="1">
        <v>2426.9634150000002</v>
      </c>
      <c r="CD31" s="1">
        <v>2877.3008259999997</v>
      </c>
      <c r="CE31" s="1">
        <v>3972.3392690000001</v>
      </c>
      <c r="CF31" s="1">
        <v>5242.6153863199997</v>
      </c>
      <c r="CG31" s="1">
        <v>5580.5086553200008</v>
      </c>
      <c r="CH31" s="1">
        <v>5474.7044839999999</v>
      </c>
      <c r="CI31" s="1">
        <v>6262.7869169999985</v>
      </c>
      <c r="CJ31" s="1">
        <v>3706.6682248000011</v>
      </c>
      <c r="CK31" s="1">
        <v>1008.5136141999997</v>
      </c>
      <c r="CL31" s="1">
        <v>2643.2003240000008</v>
      </c>
      <c r="CM31" s="1">
        <v>2559.7927309999941</v>
      </c>
      <c r="CN31" s="1">
        <v>2595.8786389999996</v>
      </c>
      <c r="CO31" s="1">
        <v>3991.578137000005</v>
      </c>
      <c r="CP31" s="1">
        <v>2884.319258</v>
      </c>
      <c r="CQ31" s="1">
        <v>2941.0099310000019</v>
      </c>
      <c r="CR31" s="1">
        <v>5922.1426200000005</v>
      </c>
      <c r="CS31" s="1">
        <v>3690.997134999996</v>
      </c>
      <c r="CT31" s="1">
        <v>7976.9650259999989</v>
      </c>
      <c r="CU31" s="1">
        <v>2127.5183829999978</v>
      </c>
      <c r="CV31" s="1">
        <v>4563.1706379999951</v>
      </c>
      <c r="CW31" s="1">
        <v>3462.6712969999949</v>
      </c>
      <c r="CX31" s="1">
        <v>2329.1403309999987</v>
      </c>
      <c r="CY31" s="1">
        <v>1373.5909259999989</v>
      </c>
      <c r="CZ31" s="1">
        <v>2320.2708510000034</v>
      </c>
      <c r="DA31" s="1">
        <v>2191.7092600000046</v>
      </c>
      <c r="DB31" s="32">
        <v>2137.1055079999969</v>
      </c>
      <c r="DC31" s="1">
        <v>2581.3054628000009</v>
      </c>
      <c r="DD31" s="1">
        <v>3187</v>
      </c>
      <c r="DE31" s="25">
        <v>3632.0433159999952</v>
      </c>
      <c r="DF31" s="25">
        <v>3790.0505189999958</v>
      </c>
      <c r="DG31" s="29">
        <v>2891.7946252253832</v>
      </c>
      <c r="DH31" s="29">
        <v>2694.9169471307955</v>
      </c>
      <c r="DI31" s="29">
        <v>2991</v>
      </c>
      <c r="DJ31" s="32">
        <v>611.92573600000514</v>
      </c>
      <c r="DK31" s="32">
        <v>1846</v>
      </c>
      <c r="DL31" s="32">
        <v>1213.5387841795757</v>
      </c>
      <c r="DM31" s="32">
        <v>833</v>
      </c>
      <c r="DN31" s="32">
        <v>1221.8169140000045</v>
      </c>
      <c r="DO31" s="32">
        <v>4334</v>
      </c>
      <c r="DP31" s="32">
        <v>2253</v>
      </c>
      <c r="DQ31" s="32">
        <v>3211</v>
      </c>
      <c r="DR31" s="32">
        <v>2546.9174130717602</v>
      </c>
      <c r="DS31" s="32">
        <v>3253.4116798271139</v>
      </c>
      <c r="DT31" s="36">
        <v>1824.5910545179522</v>
      </c>
      <c r="DU31" s="36">
        <v>2778</v>
      </c>
      <c r="DV31" s="39">
        <v>2084.5601679999995</v>
      </c>
      <c r="DW31" s="39">
        <f t="shared" ref="DW31:DX31" si="117">+DW21</f>
        <v>2061.0230730000017</v>
      </c>
      <c r="DX31" s="39">
        <f t="shared" si="117"/>
        <v>2586.8048399999998</v>
      </c>
      <c r="DY31" s="43">
        <v>916.66479999999979</v>
      </c>
      <c r="DZ31" s="43">
        <v>2496</v>
      </c>
      <c r="EA31" s="43">
        <v>3254</v>
      </c>
      <c r="EB31" s="47">
        <v>4515.3669399999999</v>
      </c>
      <c r="EC31" s="47">
        <v>4485.0241828799963</v>
      </c>
      <c r="ED31" s="47">
        <v>2835.973</v>
      </c>
      <c r="EE31" s="47">
        <f t="shared" ref="EE31:EJ31" si="118">+EE21</f>
        <v>5331.9222099999988</v>
      </c>
      <c r="EF31" s="47">
        <f t="shared" si="118"/>
        <v>4101.5389999999998</v>
      </c>
      <c r="EG31" s="47">
        <f t="shared" si="118"/>
        <v>2242</v>
      </c>
      <c r="EH31" s="47">
        <f t="shared" si="118"/>
        <v>1153.5044362952328</v>
      </c>
      <c r="EI31" s="47">
        <f t="shared" si="118"/>
        <v>1212.6879869306265</v>
      </c>
      <c r="EJ31" s="47">
        <f t="shared" si="118"/>
        <v>616.81314227806399</v>
      </c>
      <c r="EK31" s="47">
        <f>+EK21</f>
        <v>2032.7217999999998</v>
      </c>
      <c r="EL31" s="47">
        <f>+EL21</f>
        <v>3144.6745199999996</v>
      </c>
    </row>
    <row r="32" spans="2:142" s="15" customFormat="1">
      <c r="BE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DH32" s="3"/>
      <c r="DI32" s="3"/>
      <c r="DJ32" s="3"/>
      <c r="DK32" s="3"/>
      <c r="DL32" s="3"/>
      <c r="DM32" s="3"/>
      <c r="EA32" s="44"/>
      <c r="EB32" s="44"/>
      <c r="EC32" s="44"/>
      <c r="ED32" s="44"/>
    </row>
    <row r="33" spans="2:62">
      <c r="B33" s="9" t="s">
        <v>26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2:62">
      <c r="B34" s="7" t="s">
        <v>24</v>
      </c>
      <c r="C34" s="20"/>
    </row>
    <row r="35" spans="2:62">
      <c r="B35" s="5" t="s">
        <v>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2:62">
      <c r="B36" s="6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</row>
    <row r="37" spans="2:62">
      <c r="B37" s="6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</row>
    <row r="38" spans="2:62">
      <c r="B38" s="6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</row>
    <row r="39" spans="2:62"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</row>
    <row r="40" spans="2:62"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2:62"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2:62"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2:62"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2:62"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2:62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2:62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2:62">
      <c r="C47" s="20"/>
    </row>
  </sheetData>
  <hyperlinks>
    <hyperlink ref="B35" r:id="rId1" xr:uid="{00000000-0004-0000-0000-000000000000}"/>
  </hyperlinks>
  <pageMargins left="0.7" right="0.7" top="0.75" bottom="0.75" header="0.3" footer="0.3"/>
  <pageSetup scale="1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PI006</vt:lpstr>
    </vt:vector>
  </TitlesOfParts>
  <Company>MAGyP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Perez Martin</dc:creator>
  <cp:lastModifiedBy>Augusto Cesar Dabini</cp:lastModifiedBy>
  <cp:lastPrinted>2017-09-06T14:43:08Z</cp:lastPrinted>
  <dcterms:created xsi:type="dcterms:W3CDTF">2016-03-18T21:12:25Z</dcterms:created>
  <dcterms:modified xsi:type="dcterms:W3CDTF">2026-09-25T15:47:00Z</dcterms:modified>
</cp:coreProperties>
</file>